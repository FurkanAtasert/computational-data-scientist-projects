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urkan\Desktop\Senaryolar\Banka_Personel3_Gise\"/>
    </mc:Choice>
  </mc:AlternateContent>
  <xr:revisionPtr revIDLastSave="0" documentId="13_ncr:1_{DBCD72E5-C246-4FEC-AB4E-2C6046A63F3C}" xr6:coauthVersionLast="47" xr6:coauthVersionMax="47" xr10:uidLastSave="{00000000-0000-0000-0000-000000000000}"/>
  <bookViews>
    <workbookView xWindow="1536" yWindow="768" windowWidth="14616" windowHeight="13632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ContinuousTimeStatsByRep!$A$1:$L$76</definedName>
    <definedName name="ExternalData_1" localSheetId="4" hidden="1">CounterStatsByRep!$A$1:$G$2</definedName>
    <definedName name="ExternalData_1" localSheetId="2" hidden="1">DiscreteTimeStatsByRep!$A$1:$K$106</definedName>
    <definedName name="ExternalData_1" localSheetId="6" hidden="1">FrequencyStatsByRep!$A$1:$K$2</definedName>
    <definedName name="ExternalData_1" localSheetId="5" hidden="1">OutputStatsByRep!$A$1:$H$76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231" r:id="rId8"/>
    <pivotCache cacheId="238" r:id="rId9"/>
    <pivotCache cacheId="245" r:id="rId10"/>
    <pivotCache cacheId="252" r:id="rId11"/>
    <pivotCache cacheId="25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L4" i="20" s="1" a="1"/>
  <c r="L4" i="20" s="1"/>
  <c r="I7" i="20"/>
  <c r="L14" i="20" s="1" a="1"/>
  <c r="L14" i="20" s="1"/>
  <c r="I8" i="20"/>
  <c r="I9" i="20"/>
  <c r="I10" i="20"/>
  <c r="I11" i="20"/>
  <c r="I12" i="20"/>
  <c r="I13" i="20"/>
  <c r="I14" i="20"/>
  <c r="I15" i="20"/>
  <c r="I16" i="20"/>
  <c r="P42" i="20" s="1" a="1"/>
  <c r="P42" i="20" s="1"/>
  <c r="I17" i="20"/>
  <c r="I18" i="20"/>
  <c r="I19" i="20"/>
  <c r="P62" i="20" s="1" a="1"/>
  <c r="P62" i="20" s="1"/>
  <c r="I20" i="20"/>
  <c r="K19" i="20" s="1" a="1"/>
  <c r="K19" i="20" s="1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K60" i="20" s="1" a="1"/>
  <c r="K60" i="20" s="1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J2" i="20" a="1"/>
  <c r="J2" i="20"/>
  <c r="J3" i="20" a="1"/>
  <c r="J3" i="20"/>
  <c r="J4" i="20" a="1"/>
  <c r="J4" i="20" s="1"/>
  <c r="J5" i="20" a="1"/>
  <c r="J5" i="20"/>
  <c r="J6" i="20" a="1"/>
  <c r="J6" i="20"/>
  <c r="J7" i="20" a="1"/>
  <c r="J7" i="20"/>
  <c r="J8" i="20" a="1"/>
  <c r="J8" i="20" s="1"/>
  <c r="J9" i="20" a="1"/>
  <c r="J9" i="20" s="1"/>
  <c r="J10" i="20" a="1"/>
  <c r="J10" i="20"/>
  <c r="J11" i="20" a="1"/>
  <c r="J11" i="20" s="1"/>
  <c r="J12" i="20" a="1"/>
  <c r="J12" i="20"/>
  <c r="J13" i="20" a="1"/>
  <c r="J13" i="20"/>
  <c r="J14" i="20" a="1"/>
  <c r="J14" i="20" s="1"/>
  <c r="J15" i="20" a="1"/>
  <c r="J15" i="20"/>
  <c r="J16" i="20" a="1"/>
  <c r="J16" i="20"/>
  <c r="J17" i="20" a="1"/>
  <c r="J17" i="20"/>
  <c r="J18" i="20" a="1"/>
  <c r="J18" i="20" s="1"/>
  <c r="J19" i="20" a="1"/>
  <c r="J19" i="20" s="1"/>
  <c r="J20" i="20" a="1"/>
  <c r="J20" i="20"/>
  <c r="J21" i="20" a="1"/>
  <c r="J21" i="20" s="1"/>
  <c r="J22" i="20" a="1"/>
  <c r="J22" i="20"/>
  <c r="J23" i="20" a="1"/>
  <c r="J23" i="20" s="1"/>
  <c r="J24" i="20" a="1"/>
  <c r="J24" i="20" s="1"/>
  <c r="J25" i="20" a="1"/>
  <c r="J25" i="20"/>
  <c r="J26" i="20" a="1"/>
  <c r="J26" i="20" s="1"/>
  <c r="J27" i="20" a="1"/>
  <c r="J27" i="20"/>
  <c r="J28" i="20" a="1"/>
  <c r="J28" i="20" s="1"/>
  <c r="J29" i="20" a="1"/>
  <c r="J29" i="20" s="1"/>
  <c r="J30" i="20" a="1"/>
  <c r="J30" i="20"/>
  <c r="J31" i="20" a="1"/>
  <c r="J31" i="20" s="1"/>
  <c r="J32" i="20" a="1"/>
  <c r="J32" i="20"/>
  <c r="J33" i="20" a="1"/>
  <c r="J33" i="20"/>
  <c r="J34" i="20" a="1"/>
  <c r="J34" i="20" s="1"/>
  <c r="J35" i="20" a="1"/>
  <c r="J35" i="20"/>
  <c r="J36" i="20" a="1"/>
  <c r="J36" i="20"/>
  <c r="J37" i="20" a="1"/>
  <c r="J37" i="20"/>
  <c r="J38" i="20" a="1"/>
  <c r="J38" i="20" s="1"/>
  <c r="J39" i="20" a="1"/>
  <c r="J39" i="20" s="1"/>
  <c r="J40" i="20" a="1"/>
  <c r="J40" i="20"/>
  <c r="J41" i="20" a="1"/>
  <c r="J41" i="20" s="1"/>
  <c r="J42" i="20" a="1"/>
  <c r="J42" i="20" s="1"/>
  <c r="J43" i="20" a="1"/>
  <c r="J43" i="20"/>
  <c r="J44" i="20" a="1"/>
  <c r="J44" i="20" s="1"/>
  <c r="J45" i="20" a="1"/>
  <c r="J45" i="20"/>
  <c r="J46" i="20" a="1"/>
  <c r="J46" i="20"/>
  <c r="J47" i="20" a="1"/>
  <c r="J47" i="20"/>
  <c r="J48" i="20" a="1"/>
  <c r="J48" i="20" s="1"/>
  <c r="J49" i="20" a="1"/>
  <c r="J49" i="20" s="1"/>
  <c r="J50" i="20" a="1"/>
  <c r="J50" i="20"/>
  <c r="J51" i="20" a="1"/>
  <c r="J51" i="20" s="1"/>
  <c r="J52" i="20" a="1"/>
  <c r="J52" i="20"/>
  <c r="J53" i="20" a="1"/>
  <c r="J53" i="20"/>
  <c r="J54" i="20" a="1"/>
  <c r="J54" i="20" s="1"/>
  <c r="J55" i="20" a="1"/>
  <c r="J55" i="20"/>
  <c r="J56" i="20" a="1"/>
  <c r="J56" i="20"/>
  <c r="J57" i="20" a="1"/>
  <c r="J57" i="20"/>
  <c r="J58" i="20" a="1"/>
  <c r="J58" i="20" s="1"/>
  <c r="J59" i="20" a="1"/>
  <c r="J59" i="20" s="1"/>
  <c r="J60" i="20" a="1"/>
  <c r="J60" i="20"/>
  <c r="J61" i="20" a="1"/>
  <c r="J61" i="20" s="1"/>
  <c r="J62" i="20" a="1"/>
  <c r="J62" i="20"/>
  <c r="J63" i="20" a="1"/>
  <c r="J63" i="20"/>
  <c r="J64" i="20" a="1"/>
  <c r="J64" i="20" s="1"/>
  <c r="J65" i="20" a="1"/>
  <c r="J65" i="20"/>
  <c r="J66" i="20" a="1"/>
  <c r="J66" i="20"/>
  <c r="J67" i="20" a="1"/>
  <c r="J67" i="20"/>
  <c r="J68" i="20" a="1"/>
  <c r="J68" i="20" s="1"/>
  <c r="J69" i="20" a="1"/>
  <c r="J69" i="20" s="1"/>
  <c r="J70" i="20" a="1"/>
  <c r="J70" i="20"/>
  <c r="J71" i="20" a="1"/>
  <c r="J71" i="20" s="1"/>
  <c r="J72" i="20" a="1"/>
  <c r="J72" i="20"/>
  <c r="J73" i="20" a="1"/>
  <c r="J73" i="20" s="1"/>
  <c r="J74" i="20" a="1"/>
  <c r="J74" i="20" s="1"/>
  <c r="J75" i="20" a="1"/>
  <c r="J75" i="20"/>
  <c r="J76" i="20" a="1"/>
  <c r="J76" i="20" s="1"/>
  <c r="K29" i="20" a="1"/>
  <c r="K29" i="20" s="1"/>
  <c r="K39" i="20" a="1"/>
  <c r="K39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M37" i="20" a="1"/>
  <c r="M37" i="20" s="1"/>
  <c r="M38" i="20" a="1"/>
  <c r="M38" i="20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M46" i="20" a="1"/>
  <c r="M46" i="20" s="1"/>
  <c r="M47" i="20" a="1"/>
  <c r="M47" i="20" s="1"/>
  <c r="M48" i="20" a="1"/>
  <c r="M48" i="20"/>
  <c r="M49" i="20" a="1"/>
  <c r="M49" i="20" s="1"/>
  <c r="M50" i="20" a="1"/>
  <c r="M50" i="20" s="1"/>
  <c r="M51" i="20" a="1"/>
  <c r="M51" i="20" s="1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/>
  <c r="M59" i="20" a="1"/>
  <c r="M59" i="20" s="1"/>
  <c r="M60" i="20" a="1"/>
  <c r="M60" i="20" s="1"/>
  <c r="M61" i="20" a="1"/>
  <c r="M61" i="20" s="1"/>
  <c r="M62" i="20" a="1"/>
  <c r="M62" i="20" s="1"/>
  <c r="M63" i="20" a="1"/>
  <c r="M63" i="20" s="1"/>
  <c r="M64" i="20" a="1"/>
  <c r="M64" i="20" s="1"/>
  <c r="M65" i="20" a="1"/>
  <c r="M65" i="20" s="1"/>
  <c r="M66" i="20" a="1"/>
  <c r="M66" i="20" s="1"/>
  <c r="M67" i="20" a="1"/>
  <c r="M67" i="20" s="1"/>
  <c r="M68" i="20" a="1"/>
  <c r="M68" i="20"/>
  <c r="M69" i="20" a="1"/>
  <c r="M69" i="20" s="1"/>
  <c r="M70" i="20" a="1"/>
  <c r="M70" i="20" s="1"/>
  <c r="M71" i="20" a="1"/>
  <c r="M71" i="20" s="1"/>
  <c r="M72" i="20" a="1"/>
  <c r="M72" i="20" s="1"/>
  <c r="M73" i="20" a="1"/>
  <c r="M73" i="20" s="1"/>
  <c r="M74" i="20" a="1"/>
  <c r="M74" i="20" s="1"/>
  <c r="M75" i="20" a="1"/>
  <c r="M75" i="20" s="1"/>
  <c r="M76" i="20" a="1"/>
  <c r="M76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P71" i="18" s="1" a="1"/>
  <c r="P71" i="18" s="1"/>
  <c r="M72" i="18"/>
  <c r="M73" i="18"/>
  <c r="M74" i="18"/>
  <c r="M75" i="18"/>
  <c r="M76" i="18"/>
  <c r="N2" i="18" a="1"/>
  <c r="N2" i="18" s="1"/>
  <c r="N3" i="18" a="1"/>
  <c r="N3" i="18"/>
  <c r="N4" i="18" a="1"/>
  <c r="N4" i="18" s="1"/>
  <c r="N5" i="18" a="1"/>
  <c r="N5" i="18"/>
  <c r="N6" i="18" a="1"/>
  <c r="N6" i="18"/>
  <c r="N7" i="18" a="1"/>
  <c r="N7" i="18" s="1"/>
  <c r="N8" i="18" a="1"/>
  <c r="N8" i="18" s="1"/>
  <c r="N9" i="18" a="1"/>
  <c r="N9" i="18" s="1"/>
  <c r="N10" i="18" a="1"/>
  <c r="N10" i="18" s="1"/>
  <c r="N11" i="18" a="1"/>
  <c r="N11" i="18"/>
  <c r="N12" i="18" a="1"/>
  <c r="N12" i="18" s="1"/>
  <c r="N13" i="18" a="1"/>
  <c r="N13" i="18"/>
  <c r="N14" i="18" a="1"/>
  <c r="N14" i="18" s="1"/>
  <c r="N15" i="18" a="1"/>
  <c r="N15" i="18" s="1"/>
  <c r="N16" i="18" a="1"/>
  <c r="N16" i="18"/>
  <c r="N17" i="18" a="1"/>
  <c r="N17" i="18" s="1"/>
  <c r="N18" i="18" a="1"/>
  <c r="N18" i="18" s="1"/>
  <c r="N19" i="18" a="1"/>
  <c r="N19" i="18" s="1"/>
  <c r="N20" i="18" a="1"/>
  <c r="N20" i="18" s="1"/>
  <c r="N21" i="18" a="1"/>
  <c r="N21" i="18"/>
  <c r="N22" i="18" a="1"/>
  <c r="N22" i="18"/>
  <c r="N23" i="18" a="1"/>
  <c r="N23" i="18"/>
  <c r="N24" i="18" a="1"/>
  <c r="N24" i="18" s="1"/>
  <c r="N25" i="18" a="1"/>
  <c r="N25" i="18" s="1"/>
  <c r="N26" i="18" a="1"/>
  <c r="N26" i="18"/>
  <c r="N27" i="18" a="1"/>
  <c r="N27" i="18" s="1"/>
  <c r="N28" i="18" a="1"/>
  <c r="N28" i="18" s="1"/>
  <c r="N29" i="18" a="1"/>
  <c r="N29" i="18" s="1"/>
  <c r="N30" i="18" a="1"/>
  <c r="N30" i="18" s="1"/>
  <c r="N31" i="18" a="1"/>
  <c r="N31" i="18"/>
  <c r="N32" i="18" a="1"/>
  <c r="N32" i="18"/>
  <c r="N33" i="18" a="1"/>
  <c r="N33" i="18"/>
  <c r="N34" i="18" a="1"/>
  <c r="N34" i="18" s="1"/>
  <c r="N35" i="18" a="1"/>
  <c r="N35" i="18"/>
  <c r="N36" i="18" a="1"/>
  <c r="N36" i="18"/>
  <c r="N37" i="18" a="1"/>
  <c r="N37" i="18" s="1"/>
  <c r="N38" i="18" a="1"/>
  <c r="N38" i="18" s="1"/>
  <c r="N39" i="18" a="1"/>
  <c r="N39" i="18" s="1"/>
  <c r="N40" i="18" a="1"/>
  <c r="N40" i="18" s="1"/>
  <c r="N41" i="18" a="1"/>
  <c r="N41" i="18"/>
  <c r="N42" i="18" a="1"/>
  <c r="N42" i="18" s="1"/>
  <c r="N43" i="18" a="1"/>
  <c r="N43" i="18"/>
  <c r="N44" i="18" a="1"/>
  <c r="N44" i="18" s="1"/>
  <c r="N45" i="18" a="1"/>
  <c r="N45" i="18"/>
  <c r="N46" i="18" a="1"/>
  <c r="N46" i="18"/>
  <c r="N47" i="18" a="1"/>
  <c r="N47" i="18" s="1"/>
  <c r="N48" i="18" a="1"/>
  <c r="N48" i="18" s="1"/>
  <c r="N49" i="18" a="1"/>
  <c r="N49" i="18" s="1"/>
  <c r="N50" i="18" a="1"/>
  <c r="N50" i="18" s="1"/>
  <c r="N51" i="18" a="1"/>
  <c r="N51" i="18"/>
  <c r="N52" i="18" a="1"/>
  <c r="N52" i="18" s="1"/>
  <c r="N53" i="18" a="1"/>
  <c r="N53" i="18"/>
  <c r="N54" i="18" a="1"/>
  <c r="N54" i="18" s="1"/>
  <c r="N55" i="18" a="1"/>
  <c r="N55" i="18" s="1"/>
  <c r="N56" i="18" a="1"/>
  <c r="N56" i="18"/>
  <c r="N57" i="18" a="1"/>
  <c r="N57" i="18" s="1"/>
  <c r="N58" i="18" a="1"/>
  <c r="N58" i="18" s="1"/>
  <c r="N59" i="18" a="1"/>
  <c r="N59" i="18" s="1"/>
  <c r="N60" i="18" a="1"/>
  <c r="N60" i="18" s="1"/>
  <c r="N61" i="18" a="1"/>
  <c r="N61" i="18"/>
  <c r="N62" i="18" a="1"/>
  <c r="N62" i="18"/>
  <c r="N63" i="18" a="1"/>
  <c r="N63" i="18"/>
  <c r="N64" i="18" a="1"/>
  <c r="N64" i="18" s="1"/>
  <c r="N65" i="18" a="1"/>
  <c r="N65" i="18" s="1"/>
  <c r="N66" i="18" a="1"/>
  <c r="N66" i="18"/>
  <c r="N67" i="18" a="1"/>
  <c r="N67" i="18" s="1"/>
  <c r="N68" i="18" a="1"/>
  <c r="N68" i="18" s="1"/>
  <c r="N69" i="18" a="1"/>
  <c r="N69" i="18" s="1"/>
  <c r="N70" i="18" a="1"/>
  <c r="N70" i="18" s="1"/>
  <c r="N71" i="18" a="1"/>
  <c r="N71" i="18"/>
  <c r="N72" i="18" a="1"/>
  <c r="N72" i="18"/>
  <c r="N73" i="18" a="1"/>
  <c r="N73" i="18"/>
  <c r="N74" i="18" a="1"/>
  <c r="N74" i="18" s="1"/>
  <c r="N75" i="18" a="1"/>
  <c r="N75" i="18"/>
  <c r="N76" i="18" a="1"/>
  <c r="N76" i="18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/>
  <c r="Q19" i="18" a="1"/>
  <c r="Q19" i="18" s="1"/>
  <c r="Q20" i="18" a="1"/>
  <c r="Q20" i="18" s="1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 s="1"/>
  <c r="Q28" i="18" a="1"/>
  <c r="Q28" i="18"/>
  <c r="Q29" i="18" a="1"/>
  <c r="Q29" i="18" s="1"/>
  <c r="Q30" i="18" a="1"/>
  <c r="Q30" i="18" s="1"/>
  <c r="Q31" i="18" a="1"/>
  <c r="Q31" i="18" s="1"/>
  <c r="Q32" i="18" a="1"/>
  <c r="Q32" i="18" s="1"/>
  <c r="Q33" i="18" a="1"/>
  <c r="Q33" i="18" s="1"/>
  <c r="Q34" i="18" a="1"/>
  <c r="Q34" i="18" s="1"/>
  <c r="Q35" i="18" a="1"/>
  <c r="Q35" i="18" s="1"/>
  <c r="Q36" i="18" a="1"/>
  <c r="Q36" i="18" s="1"/>
  <c r="Q37" i="18" a="1"/>
  <c r="Q37" i="18" s="1"/>
  <c r="Q38" i="18" a="1"/>
  <c r="Q38" i="18"/>
  <c r="Q39" i="18" a="1"/>
  <c r="Q39" i="18" s="1"/>
  <c r="Q40" i="18" a="1"/>
  <c r="Q40" i="18" s="1"/>
  <c r="Q41" i="18" a="1"/>
  <c r="Q41" i="18" s="1"/>
  <c r="Q42" i="18" a="1"/>
  <c r="Q42" i="18" s="1"/>
  <c r="Q43" i="18" a="1"/>
  <c r="Q43" i="18" s="1"/>
  <c r="Q44" i="18" a="1"/>
  <c r="Q44" i="18" s="1"/>
  <c r="Q45" i="18" a="1"/>
  <c r="Q45" i="18" s="1"/>
  <c r="Q46" i="18" a="1"/>
  <c r="Q46" i="18" s="1"/>
  <c r="Q47" i="18" a="1"/>
  <c r="Q47" i="18" s="1"/>
  <c r="Q48" i="18" a="1"/>
  <c r="Q48" i="18" s="1"/>
  <c r="Q49" i="18" a="1"/>
  <c r="Q49" i="18" s="1"/>
  <c r="Q50" i="18" a="1"/>
  <c r="Q50" i="18" s="1"/>
  <c r="Q51" i="18" a="1"/>
  <c r="Q51" i="18" s="1"/>
  <c r="Q52" i="18" a="1"/>
  <c r="Q52" i="18" s="1"/>
  <c r="Q53" i="18" a="1"/>
  <c r="Q53" i="18" s="1"/>
  <c r="Q54" i="18" a="1"/>
  <c r="Q54" i="18" s="1"/>
  <c r="Q55" i="18" a="1"/>
  <c r="Q55" i="18" s="1"/>
  <c r="Q56" i="18" a="1"/>
  <c r="Q56" i="18" s="1"/>
  <c r="Q57" i="18" a="1"/>
  <c r="Q57" i="18" s="1"/>
  <c r="Q58" i="18" a="1"/>
  <c r="Q58" i="18" s="1"/>
  <c r="Q59" i="18" a="1"/>
  <c r="Q59" i="18" s="1"/>
  <c r="Q60" i="18" a="1"/>
  <c r="Q60" i="18" s="1"/>
  <c r="Q61" i="18" a="1"/>
  <c r="Q61" i="18" s="1"/>
  <c r="Q62" i="18" a="1"/>
  <c r="Q62" i="18" s="1"/>
  <c r="Q63" i="18" a="1"/>
  <c r="Q63" i="18" s="1"/>
  <c r="Q64" i="18" a="1"/>
  <c r="Q64" i="18" s="1"/>
  <c r="Q65" i="18" a="1"/>
  <c r="Q65" i="18" s="1"/>
  <c r="Q66" i="18" a="1"/>
  <c r="Q66" i="18" s="1"/>
  <c r="Q67" i="18" a="1"/>
  <c r="Q67" i="18" s="1"/>
  <c r="Q68" i="18" a="1"/>
  <c r="Q68" i="18" s="1"/>
  <c r="Q69" i="18" a="1"/>
  <c r="Q69" i="18" s="1"/>
  <c r="Q70" i="18" a="1"/>
  <c r="Q70" i="18" s="1"/>
  <c r="Q71" i="18" a="1"/>
  <c r="Q71" i="18" s="1"/>
  <c r="Q72" i="18" a="1"/>
  <c r="Q72" i="18" s="1"/>
  <c r="Q73" i="18" a="1"/>
  <c r="Q73" i="18" s="1"/>
  <c r="Q74" i="18" a="1"/>
  <c r="Q74" i="18" s="1"/>
  <c r="Q75" i="18" a="1"/>
  <c r="Q75" i="18" s="1"/>
  <c r="Q76" i="18" a="1"/>
  <c r="Q76" i="18" s="1"/>
  <c r="L2" i="17"/>
  <c r="L3" i="17"/>
  <c r="L4" i="17"/>
  <c r="L5" i="17"/>
  <c r="L6" i="17"/>
  <c r="L7" i="17"/>
  <c r="L92" i="17"/>
  <c r="L8" i="17"/>
  <c r="L9" i="17"/>
  <c r="L10" i="17"/>
  <c r="L11" i="17"/>
  <c r="L12" i="17"/>
  <c r="L13" i="17"/>
  <c r="L93" i="17"/>
  <c r="L14" i="17"/>
  <c r="L15" i="17"/>
  <c r="L16" i="17"/>
  <c r="L17" i="17"/>
  <c r="L18" i="17"/>
  <c r="L19" i="17"/>
  <c r="L94" i="17"/>
  <c r="L20" i="17"/>
  <c r="L21" i="17"/>
  <c r="L22" i="17"/>
  <c r="L23" i="17"/>
  <c r="L24" i="17"/>
  <c r="L25" i="17"/>
  <c r="L95" i="17"/>
  <c r="L26" i="17"/>
  <c r="L27" i="17"/>
  <c r="L28" i="17"/>
  <c r="L29" i="17"/>
  <c r="L30" i="17"/>
  <c r="L31" i="17"/>
  <c r="L96" i="17"/>
  <c r="L32" i="17"/>
  <c r="L33" i="17"/>
  <c r="L34" i="17"/>
  <c r="L35" i="17"/>
  <c r="L36" i="17"/>
  <c r="L37" i="17"/>
  <c r="L97" i="17"/>
  <c r="L38" i="17"/>
  <c r="L39" i="17"/>
  <c r="L40" i="17"/>
  <c r="L41" i="17"/>
  <c r="L42" i="17"/>
  <c r="L43" i="17"/>
  <c r="L98" i="17"/>
  <c r="L44" i="17"/>
  <c r="L45" i="17"/>
  <c r="L46" i="17"/>
  <c r="L47" i="17"/>
  <c r="L48" i="17"/>
  <c r="L49" i="17"/>
  <c r="L99" i="17"/>
  <c r="L50" i="17"/>
  <c r="L51" i="17"/>
  <c r="L52" i="17"/>
  <c r="L53" i="17"/>
  <c r="L54" i="17"/>
  <c r="L55" i="17"/>
  <c r="L100" i="17"/>
  <c r="L56" i="17"/>
  <c r="L57" i="17"/>
  <c r="L58" i="17"/>
  <c r="L59" i="17"/>
  <c r="L60" i="17"/>
  <c r="L61" i="17"/>
  <c r="L101" i="17"/>
  <c r="L62" i="17"/>
  <c r="L63" i="17"/>
  <c r="L64" i="17"/>
  <c r="L65" i="17"/>
  <c r="L66" i="17"/>
  <c r="L67" i="17"/>
  <c r="L102" i="17"/>
  <c r="L68" i="17"/>
  <c r="L69" i="17"/>
  <c r="L70" i="17"/>
  <c r="L71" i="17"/>
  <c r="L72" i="17"/>
  <c r="L73" i="17"/>
  <c r="L103" i="17"/>
  <c r="L74" i="17"/>
  <c r="L75" i="17"/>
  <c r="L76" i="17"/>
  <c r="L77" i="17"/>
  <c r="L78" i="17"/>
  <c r="L79" i="17"/>
  <c r="L104" i="17"/>
  <c r="L80" i="17"/>
  <c r="L81" i="17"/>
  <c r="L82" i="17"/>
  <c r="L83" i="17"/>
  <c r="L84" i="17"/>
  <c r="L85" i="17"/>
  <c r="L105" i="17"/>
  <c r="L86" i="17"/>
  <c r="L87" i="17"/>
  <c r="L88" i="17"/>
  <c r="L89" i="17"/>
  <c r="L90" i="17"/>
  <c r="L91" i="17"/>
  <c r="L106" i="17"/>
  <c r="M2" i="17" a="1"/>
  <c r="M2" i="17"/>
  <c r="M3" i="17" a="1"/>
  <c r="M3" i="17"/>
  <c r="M4" i="17" a="1"/>
  <c r="M4" i="17" s="1"/>
  <c r="M5" i="17" a="1"/>
  <c r="M5" i="17" s="1"/>
  <c r="M6" i="17" a="1"/>
  <c r="M6" i="17"/>
  <c r="M7" i="17" a="1"/>
  <c r="M7" i="17" s="1"/>
  <c r="M92" i="17" a="1"/>
  <c r="M92" i="17" s="1"/>
  <c r="M8" i="17" a="1"/>
  <c r="M8" i="17" s="1"/>
  <c r="M9" i="17" a="1"/>
  <c r="M9" i="17" s="1"/>
  <c r="M10" i="17" a="1"/>
  <c r="M10" i="17" s="1"/>
  <c r="M11" i="17" a="1"/>
  <c r="M11" i="17"/>
  <c r="M12" i="17" a="1"/>
  <c r="M12" i="17" s="1"/>
  <c r="M13" i="17" a="1"/>
  <c r="M13" i="17" s="1"/>
  <c r="M93" i="17" a="1"/>
  <c r="M9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94" i="17" a="1"/>
  <c r="M94" i="17" s="1"/>
  <c r="M20" i="17" a="1"/>
  <c r="M20" i="17"/>
  <c r="M21" i="17" a="1"/>
  <c r="M21" i="17" s="1"/>
  <c r="M22" i="17" a="1"/>
  <c r="M22" i="17" s="1"/>
  <c r="M23" i="17" a="1"/>
  <c r="M23" i="17"/>
  <c r="M24" i="17" a="1"/>
  <c r="M24" i="17" s="1"/>
  <c r="M25" i="17" a="1"/>
  <c r="M25" i="17" s="1"/>
  <c r="M95" i="17" a="1"/>
  <c r="M95" i="17" s="1"/>
  <c r="M26" i="17" a="1"/>
  <c r="M26" i="17" s="1"/>
  <c r="M27" i="17" a="1"/>
  <c r="M27" i="17" s="1"/>
  <c r="M28" i="17" a="1"/>
  <c r="M28" i="17" s="1"/>
  <c r="M29" i="17" a="1"/>
  <c r="M29" i="17"/>
  <c r="M30" i="17" a="1"/>
  <c r="M30" i="17" s="1"/>
  <c r="M31" i="17" a="1"/>
  <c r="M31" i="17" s="1"/>
  <c r="M96" i="17" a="1"/>
  <c r="M96" i="17"/>
  <c r="M32" i="17" a="1"/>
  <c r="M32" i="17" s="1"/>
  <c r="M33" i="17" a="1"/>
  <c r="M33" i="17"/>
  <c r="M34" i="17" a="1"/>
  <c r="M34" i="17" s="1"/>
  <c r="M35" i="17" a="1"/>
  <c r="M35" i="17" s="1"/>
  <c r="M36" i="17" a="1"/>
  <c r="M36" i="17" s="1"/>
  <c r="M37" i="17" a="1"/>
  <c r="M37" i="17" s="1"/>
  <c r="M97" i="17" a="1"/>
  <c r="M97" i="17" s="1"/>
  <c r="M38" i="17" a="1"/>
  <c r="M38" i="17" s="1"/>
  <c r="M39" i="17" a="1"/>
  <c r="M39" i="17" s="1"/>
  <c r="M40" i="17" a="1"/>
  <c r="M40" i="17"/>
  <c r="M41" i="17" a="1"/>
  <c r="M41" i="17" s="1"/>
  <c r="M42" i="17" a="1"/>
  <c r="M42" i="17" s="1"/>
  <c r="M43" i="17" a="1"/>
  <c r="M43" i="17" s="1"/>
  <c r="M98" i="17" a="1"/>
  <c r="M98" i="17" s="1"/>
  <c r="M44" i="17" a="1"/>
  <c r="M44" i="17" s="1"/>
  <c r="M45" i="17" a="1"/>
  <c r="M45" i="17" s="1"/>
  <c r="M46" i="17" a="1"/>
  <c r="M46" i="17"/>
  <c r="M47" i="17" a="1"/>
  <c r="M47" i="17" s="1"/>
  <c r="M48" i="17" a="1"/>
  <c r="M48" i="17" s="1"/>
  <c r="M49" i="17" a="1"/>
  <c r="M49" i="17" s="1"/>
  <c r="M99" i="17" a="1"/>
  <c r="M99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100" i="17" a="1"/>
  <c r="M100" i="17" s="1"/>
  <c r="M56" i="17" a="1"/>
  <c r="M56" i="17" s="1"/>
  <c r="M57" i="17" a="1"/>
  <c r="M57" i="17"/>
  <c r="M58" i="17" a="1"/>
  <c r="M58" i="17" s="1"/>
  <c r="M59" i="17" a="1"/>
  <c r="M59" i="17"/>
  <c r="M60" i="17" a="1"/>
  <c r="M60" i="17" s="1"/>
  <c r="M61" i="17" a="1"/>
  <c r="M61" i="17" s="1"/>
  <c r="M101" i="17" a="1"/>
  <c r="M101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102" i="17" a="1"/>
  <c r="M102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M103" i="17" a="1"/>
  <c r="M103" i="17" s="1"/>
  <c r="M74" i="17" a="1"/>
  <c r="M74" i="17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104" i="17" a="1"/>
  <c r="M104" i="17"/>
  <c r="M80" i="17" a="1"/>
  <c r="M80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M105" i="17" a="1"/>
  <c r="M105" i="17" s="1"/>
  <c r="M86" i="17" a="1"/>
  <c r="M86" i="17" s="1"/>
  <c r="M87" i="17" a="1"/>
  <c r="M87" i="17" s="1"/>
  <c r="M88" i="17" a="1"/>
  <c r="M88" i="17"/>
  <c r="M89" i="17" a="1"/>
  <c r="M89" i="17" s="1"/>
  <c r="M90" i="17" a="1"/>
  <c r="M90" i="17" s="1"/>
  <c r="M91" i="17" a="1"/>
  <c r="M91" i="17" s="1"/>
  <c r="M106" i="17" a="1"/>
  <c r="M106" i="17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/>
  <c r="P92" i="17" a="1"/>
  <c r="P92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/>
  <c r="P13" i="17" a="1"/>
  <c r="P13" i="17" s="1"/>
  <c r="P93" i="17" a="1"/>
  <c r="P9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/>
  <c r="P94" i="17" a="1"/>
  <c r="P94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/>
  <c r="P25" i="17" a="1"/>
  <c r="P25" i="17" s="1"/>
  <c r="P95" i="17" a="1"/>
  <c r="P9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96" i="17" a="1"/>
  <c r="P96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97" i="17" a="1"/>
  <c r="P97" i="17" s="1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98" i="17" a="1"/>
  <c r="P98" i="17" s="1"/>
  <c r="P44" i="17" a="1"/>
  <c r="P44" i="17"/>
  <c r="P45" i="17" a="1"/>
  <c r="P45" i="17" s="1"/>
  <c r="P46" i="17" a="1"/>
  <c r="P46" i="17"/>
  <c r="P47" i="17" a="1"/>
  <c r="P47" i="17" s="1"/>
  <c r="P48" i="17" a="1"/>
  <c r="P48" i="17" s="1"/>
  <c r="P49" i="17" a="1"/>
  <c r="P49" i="17" s="1"/>
  <c r="P99" i="17" a="1"/>
  <c r="P99" i="17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100" i="17" a="1"/>
  <c r="P100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101" i="17" a="1"/>
  <c r="P101" i="17" s="1"/>
  <c r="P62" i="17" a="1"/>
  <c r="P62" i="17" s="1"/>
  <c r="P63" i="17" a="1"/>
  <c r="P63" i="17"/>
  <c r="P64" i="17" a="1"/>
  <c r="P64" i="17" s="1"/>
  <c r="P65" i="17" a="1"/>
  <c r="P65" i="17" s="1"/>
  <c r="P66" i="17" a="1"/>
  <c r="P66" i="17" s="1"/>
  <c r="P67" i="17" a="1"/>
  <c r="P67" i="17" s="1"/>
  <c r="P102" i="17" a="1"/>
  <c r="P102" i="17" s="1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103" i="17" a="1"/>
  <c r="P103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 s="1"/>
  <c r="P79" i="17" a="1"/>
  <c r="P79" i="17"/>
  <c r="P104" i="17" a="1"/>
  <c r="P104" i="17" s="1"/>
  <c r="P80" i="17" a="1"/>
  <c r="P80" i="17"/>
  <c r="P81" i="17" a="1"/>
  <c r="P81" i="17" s="1"/>
  <c r="P82" i="17" a="1"/>
  <c r="P82" i="17" s="1"/>
  <c r="P83" i="17" a="1"/>
  <c r="P83" i="17" s="1"/>
  <c r="P84" i="17" a="1"/>
  <c r="P84" i="17"/>
  <c r="P85" i="17" a="1"/>
  <c r="P85" i="17" s="1"/>
  <c r="P105" i="17" a="1"/>
  <c r="P105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 s="1"/>
  <c r="P91" i="17" a="1"/>
  <c r="P91" i="17" s="1"/>
  <c r="P106" i="17" a="1"/>
  <c r="P106" i="17" s="1"/>
  <c r="G2" i="16"/>
  <c r="N4" i="20" l="1"/>
  <c r="K61" i="20" a="1"/>
  <c r="K61" i="20" s="1"/>
  <c r="P41" i="20" a="1"/>
  <c r="P41" i="20" s="1"/>
  <c r="L21" i="20" a="1"/>
  <c r="L21" i="20" s="1"/>
  <c r="K9" i="20" a="1"/>
  <c r="K9" i="20" s="1"/>
  <c r="O58" i="20" a="1"/>
  <c r="O58" i="20" s="1"/>
  <c r="O38" i="20" a="1"/>
  <c r="O38" i="20" s="1"/>
  <c r="L18" i="20" a="1"/>
  <c r="L18" i="20" s="1"/>
  <c r="N14" i="20"/>
  <c r="P17" i="20" a="1"/>
  <c r="P17" i="20" s="1"/>
  <c r="O47" i="20" a="1"/>
  <c r="O47" i="20" s="1"/>
  <c r="O39" i="20" a="1"/>
  <c r="O39" i="20" s="1"/>
  <c r="L16" i="20" a="1"/>
  <c r="L16" i="20" s="1"/>
  <c r="N16" i="20" s="1"/>
  <c r="L55" i="20" a="1"/>
  <c r="L55" i="20" s="1"/>
  <c r="O59" i="20" a="1"/>
  <c r="O59" i="20" s="1"/>
  <c r="L36" i="20" a="1"/>
  <c r="L36" i="20" s="1"/>
  <c r="N36" i="20" s="1"/>
  <c r="L75" i="20" a="1"/>
  <c r="L75" i="20" s="1"/>
  <c r="N75" i="20" s="1"/>
  <c r="L35" i="20" a="1"/>
  <c r="L35" i="20" s="1"/>
  <c r="N35" i="20" s="1"/>
  <c r="P74" i="20" a="1"/>
  <c r="P74" i="20" s="1"/>
  <c r="P54" i="20" a="1"/>
  <c r="P54" i="20" s="1"/>
  <c r="P34" i="20" a="1"/>
  <c r="P34" i="20" s="1"/>
  <c r="O37" i="20" a="1"/>
  <c r="O37" i="20" s="1"/>
  <c r="P73" i="20" a="1"/>
  <c r="P73" i="20" s="1"/>
  <c r="P53" i="20" a="1"/>
  <c r="P53" i="20" s="1"/>
  <c r="P33" i="20" a="1"/>
  <c r="P33" i="20" s="1"/>
  <c r="O7" i="20" a="1"/>
  <c r="O7" i="20" s="1"/>
  <c r="L74" i="20" a="1"/>
  <c r="L74" i="20" s="1"/>
  <c r="K71" i="20" a="1"/>
  <c r="K71" i="20" s="1"/>
  <c r="K10" i="20" a="1"/>
  <c r="K10" i="20" s="1"/>
  <c r="K31" i="20" a="1"/>
  <c r="K31" i="20" s="1"/>
  <c r="O9" i="20" a="1"/>
  <c r="O9" i="20" s="1"/>
  <c r="O57" i="20" a="1"/>
  <c r="O57" i="20" s="1"/>
  <c r="L56" i="20" a="1"/>
  <c r="L56" i="20" s="1"/>
  <c r="K51" i="20" a="1"/>
  <c r="K51" i="20" s="1"/>
  <c r="K50" i="20" a="1"/>
  <c r="K50" i="20" s="1"/>
  <c r="O49" i="20" a="1"/>
  <c r="O49" i="20" s="1"/>
  <c r="O28" i="20" a="1"/>
  <c r="O28" i="20" s="1"/>
  <c r="P2" i="20" a="1"/>
  <c r="P2" i="20" s="1"/>
  <c r="L76" i="20" a="1"/>
  <c r="L76" i="20" s="1"/>
  <c r="N34" i="20"/>
  <c r="L34" i="20" a="1"/>
  <c r="L34" i="20" s="1"/>
  <c r="O48" i="20" a="1"/>
  <c r="O48" i="20" s="1"/>
  <c r="K40" i="20" a="1"/>
  <c r="K40" i="20" s="1"/>
  <c r="P52" i="20" a="1"/>
  <c r="P52" i="20" s="1"/>
  <c r="K11" i="20" a="1"/>
  <c r="K11" i="20" s="1"/>
  <c r="K30" i="20" a="1"/>
  <c r="K30" i="20" s="1"/>
  <c r="O69" i="20" a="1"/>
  <c r="O69" i="20" s="1"/>
  <c r="O8" i="20" a="1"/>
  <c r="O8" i="20" s="1"/>
  <c r="P64" i="20" a="1"/>
  <c r="P64" i="20" s="1"/>
  <c r="P24" i="20" a="1"/>
  <c r="P24" i="20" s="1"/>
  <c r="P72" i="20" a="1"/>
  <c r="P72" i="20" s="1"/>
  <c r="L64" i="20" a="1"/>
  <c r="L64" i="20" s="1"/>
  <c r="N64" i="20" s="1"/>
  <c r="L54" i="20" a="1"/>
  <c r="L54" i="20" s="1"/>
  <c r="N54" i="20" s="1"/>
  <c r="L44" i="20" a="1"/>
  <c r="L44" i="20" s="1"/>
  <c r="O29" i="20" a="1"/>
  <c r="O29" i="20" s="1"/>
  <c r="O68" i="20" a="1"/>
  <c r="O68" i="20" s="1"/>
  <c r="L24" i="20" a="1"/>
  <c r="L24" i="20" s="1"/>
  <c r="K69" i="20" a="1"/>
  <c r="K69" i="20" s="1"/>
  <c r="P44" i="20" a="1"/>
  <c r="P44" i="20" s="1"/>
  <c r="P4" i="20" a="1"/>
  <c r="P4" i="20" s="1"/>
  <c r="K59" i="20" a="1"/>
  <c r="K59" i="20" s="1"/>
  <c r="K49" i="20" a="1"/>
  <c r="K49" i="20" s="1"/>
  <c r="O62" i="20" a="1"/>
  <c r="O62" i="20" s="1"/>
  <c r="K42" i="20" a="1"/>
  <c r="K42" i="20" s="1"/>
  <c r="K22" i="20" a="1"/>
  <c r="K22" i="20" s="1"/>
  <c r="K70" i="20" a="1"/>
  <c r="K70" i="20" s="1"/>
  <c r="N42" i="20"/>
  <c r="N76" i="20"/>
  <c r="N2" i="20"/>
  <c r="N74" i="20"/>
  <c r="N24" i="20"/>
  <c r="N56" i="20"/>
  <c r="N73" i="20"/>
  <c r="N21" i="20"/>
  <c r="N44" i="20"/>
  <c r="N18" i="20"/>
  <c r="N55" i="20"/>
  <c r="N70" i="20"/>
  <c r="L63" i="20" a="1"/>
  <c r="L63" i="20" s="1"/>
  <c r="N63" i="20" s="1"/>
  <c r="K18" i="20" a="1"/>
  <c r="K18" i="20" s="1"/>
  <c r="K8" i="20" a="1"/>
  <c r="K8" i="20" s="1"/>
  <c r="P51" i="20" a="1"/>
  <c r="P51" i="20" s="1"/>
  <c r="L33" i="20" a="1"/>
  <c r="L33" i="20" s="1"/>
  <c r="N33" i="20" s="1"/>
  <c r="O55" i="20" a="1"/>
  <c r="O55" i="20" s="1"/>
  <c r="O45" i="20" a="1"/>
  <c r="O45" i="20" s="1"/>
  <c r="O35" i="20" a="1"/>
  <c r="O35" i="20" s="1"/>
  <c r="O25" i="20" a="1"/>
  <c r="O25" i="20" s="1"/>
  <c r="O15" i="20" a="1"/>
  <c r="O15" i="20" s="1"/>
  <c r="O5" i="20" a="1"/>
  <c r="O5" i="20" s="1"/>
  <c r="P21" i="20" a="1"/>
  <c r="P21" i="20" s="1"/>
  <c r="K28" i="20" a="1"/>
  <c r="K28" i="20" s="1"/>
  <c r="L2" i="20" a="1"/>
  <c r="L2" i="20" s="1"/>
  <c r="K67" i="20" a="1"/>
  <c r="K67" i="20" s="1"/>
  <c r="K57" i="20" a="1"/>
  <c r="K57" i="20" s="1"/>
  <c r="K47" i="20" a="1"/>
  <c r="K47" i="20" s="1"/>
  <c r="K37" i="20" a="1"/>
  <c r="K37" i="20" s="1"/>
  <c r="K27" i="20" a="1"/>
  <c r="K27" i="20" s="1"/>
  <c r="K17" i="20" a="1"/>
  <c r="K17" i="20" s="1"/>
  <c r="K7" i="20" a="1"/>
  <c r="K7" i="20" s="1"/>
  <c r="O16" i="20" a="1"/>
  <c r="O16" i="20" s="1"/>
  <c r="P50" i="20" a="1"/>
  <c r="P50" i="20" s="1"/>
  <c r="P19" i="20" a="1"/>
  <c r="P19" i="20" s="1"/>
  <c r="P9" i="20" a="1"/>
  <c r="P9" i="20" s="1"/>
  <c r="O74" i="20" a="1"/>
  <c r="O74" i="20" s="1"/>
  <c r="O64" i="20" a="1"/>
  <c r="O64" i="20" s="1"/>
  <c r="O54" i="20" a="1"/>
  <c r="O54" i="20" s="1"/>
  <c r="O44" i="20" a="1"/>
  <c r="O44" i="20" s="1"/>
  <c r="O34" i="20" a="1"/>
  <c r="O34" i="20" s="1"/>
  <c r="O24" i="20" a="1"/>
  <c r="O24" i="20" s="1"/>
  <c r="O14" i="20" a="1"/>
  <c r="O14" i="20" s="1"/>
  <c r="O4" i="20" a="1"/>
  <c r="O4" i="20" s="1"/>
  <c r="O36" i="20" a="1"/>
  <c r="O36" i="20" s="1"/>
  <c r="K38" i="20" a="1"/>
  <c r="K38" i="20" s="1"/>
  <c r="P60" i="20" a="1"/>
  <c r="P60" i="20" s="1"/>
  <c r="L22" i="20" a="1"/>
  <c r="L22" i="20" s="1"/>
  <c r="N22" i="20" s="1"/>
  <c r="L11" i="20" a="1"/>
  <c r="L11" i="20" s="1"/>
  <c r="N11" i="20" s="1"/>
  <c r="K6" i="20" a="1"/>
  <c r="K6" i="20" s="1"/>
  <c r="O76" i="20" a="1"/>
  <c r="O76" i="20" s="1"/>
  <c r="K58" i="20" a="1"/>
  <c r="K58" i="20" s="1"/>
  <c r="L32" i="20" a="1"/>
  <c r="L32" i="20" s="1"/>
  <c r="N32" i="20" s="1"/>
  <c r="K66" i="20" a="1"/>
  <c r="K66" i="20" s="1"/>
  <c r="O63" i="20" a="1"/>
  <c r="O63" i="20" s="1"/>
  <c r="O3" i="20" a="1"/>
  <c r="O3" i="20" s="1"/>
  <c r="P11" i="20" a="1"/>
  <c r="P11" i="20" s="1"/>
  <c r="K48" i="20" a="1"/>
  <c r="K48" i="20" s="1"/>
  <c r="P40" i="20" a="1"/>
  <c r="P40" i="20" s="1"/>
  <c r="P59" i="20" a="1"/>
  <c r="P59" i="20" s="1"/>
  <c r="L41" i="20" a="1"/>
  <c r="L41" i="20" s="1"/>
  <c r="N41" i="20" s="1"/>
  <c r="P48" i="20" a="1"/>
  <c r="P48" i="20" s="1"/>
  <c r="L70" i="20" a="1"/>
  <c r="L70" i="20" s="1"/>
  <c r="K25" i="20" a="1"/>
  <c r="K25" i="20" s="1"/>
  <c r="K15" i="20" a="1"/>
  <c r="K15" i="20" s="1"/>
  <c r="O56" i="20" a="1"/>
  <c r="O56" i="20" s="1"/>
  <c r="L53" i="20" a="1"/>
  <c r="L53" i="20" s="1"/>
  <c r="N53" i="20" s="1"/>
  <c r="O75" i="20" a="1"/>
  <c r="O75" i="20" s="1"/>
  <c r="P29" i="20" a="1"/>
  <c r="P29" i="20" s="1"/>
  <c r="K56" i="20" a="1"/>
  <c r="K56" i="20" s="1"/>
  <c r="P8" i="20" a="1"/>
  <c r="P8" i="20" s="1"/>
  <c r="K45" i="20" a="1"/>
  <c r="K45" i="20" s="1"/>
  <c r="K35" i="20" a="1"/>
  <c r="K35" i="20" s="1"/>
  <c r="K5" i="20" a="1"/>
  <c r="K5" i="20" s="1"/>
  <c r="P67" i="20" a="1"/>
  <c r="P67" i="20" s="1"/>
  <c r="P57" i="20" a="1"/>
  <c r="P57" i="20" s="1"/>
  <c r="P47" i="20" a="1"/>
  <c r="P47" i="20" s="1"/>
  <c r="P37" i="20" a="1"/>
  <c r="P37" i="20" s="1"/>
  <c r="P27" i="20" a="1"/>
  <c r="P27" i="20" s="1"/>
  <c r="P7" i="20" a="1"/>
  <c r="P7" i="20" s="1"/>
  <c r="O72" i="20" a="1"/>
  <c r="O72" i="20" s="1"/>
  <c r="O52" i="20" a="1"/>
  <c r="O52" i="20" s="1"/>
  <c r="O42" i="20" a="1"/>
  <c r="O42" i="20" s="1"/>
  <c r="O32" i="20" a="1"/>
  <c r="O32" i="20" s="1"/>
  <c r="O22" i="20" a="1"/>
  <c r="O22" i="20" s="1"/>
  <c r="O12" i="20" a="1"/>
  <c r="O12" i="20" s="1"/>
  <c r="O2" i="20" a="1"/>
  <c r="O2" i="20" s="1"/>
  <c r="O46" i="20" a="1"/>
  <c r="O46" i="20" s="1"/>
  <c r="L23" i="20" a="1"/>
  <c r="L23" i="20" s="1"/>
  <c r="N23" i="20" s="1"/>
  <c r="L52" i="20" a="1"/>
  <c r="L52" i="20" s="1"/>
  <c r="N52" i="20" s="1"/>
  <c r="K26" i="20" a="1"/>
  <c r="K26" i="20" s="1"/>
  <c r="O43" i="20" a="1"/>
  <c r="O43" i="20" s="1"/>
  <c r="L49" i="20" a="1"/>
  <c r="L49" i="20" s="1"/>
  <c r="N49" i="20" s="1"/>
  <c r="L39" i="20" a="1"/>
  <c r="L39" i="20" s="1"/>
  <c r="N39" i="20" s="1"/>
  <c r="L9" i="20" a="1"/>
  <c r="L9" i="20" s="1"/>
  <c r="N9" i="20" s="1"/>
  <c r="K74" i="20" a="1"/>
  <c r="K74" i="20" s="1"/>
  <c r="K44" i="20" a="1"/>
  <c r="K44" i="20" s="1"/>
  <c r="K34" i="20" a="1"/>
  <c r="K34" i="20" s="1"/>
  <c r="K4" i="20" a="1"/>
  <c r="K4" i="20" s="1"/>
  <c r="O26" i="20" a="1"/>
  <c r="O26" i="20" s="1"/>
  <c r="P70" i="20" a="1"/>
  <c r="P70" i="20" s="1"/>
  <c r="P20" i="20" a="1"/>
  <c r="P20" i="20" s="1"/>
  <c r="P49" i="20" a="1"/>
  <c r="P49" i="20" s="1"/>
  <c r="K16" i="20" a="1"/>
  <c r="K16" i="20" s="1"/>
  <c r="O23" i="20" a="1"/>
  <c r="O23" i="20" s="1"/>
  <c r="L69" i="20" a="1"/>
  <c r="L69" i="20" s="1"/>
  <c r="N69" i="20" s="1"/>
  <c r="L59" i="20" a="1"/>
  <c r="L59" i="20" s="1"/>
  <c r="N59" i="20" s="1"/>
  <c r="L29" i="20" a="1"/>
  <c r="L29" i="20" s="1"/>
  <c r="N29" i="20" s="1"/>
  <c r="L19" i="20" a="1"/>
  <c r="L19" i="20" s="1"/>
  <c r="N19" i="20" s="1"/>
  <c r="K64" i="20" a="1"/>
  <c r="K64" i="20" s="1"/>
  <c r="K54" i="20" a="1"/>
  <c r="K54" i="20" s="1"/>
  <c r="K24" i="20" a="1"/>
  <c r="K24" i="20" s="1"/>
  <c r="K14" i="20" a="1"/>
  <c r="K14" i="20" s="1"/>
  <c r="P76" i="20" a="1"/>
  <c r="P76" i="20" s="1"/>
  <c r="P66" i="20" a="1"/>
  <c r="P66" i="20" s="1"/>
  <c r="P56" i="20" a="1"/>
  <c r="P56" i="20" s="1"/>
  <c r="P46" i="20" a="1"/>
  <c r="P46" i="20" s="1"/>
  <c r="P36" i="20" a="1"/>
  <c r="P36" i="20" s="1"/>
  <c r="P26" i="20" a="1"/>
  <c r="P26" i="20" s="1"/>
  <c r="P16" i="20" a="1"/>
  <c r="P16" i="20" s="1"/>
  <c r="P6" i="20" a="1"/>
  <c r="P6" i="20" s="1"/>
  <c r="O71" i="20" a="1"/>
  <c r="O71" i="20" s="1"/>
  <c r="O61" i="20" a="1"/>
  <c r="O61" i="20" s="1"/>
  <c r="O51" i="20" a="1"/>
  <c r="O51" i="20" s="1"/>
  <c r="O41" i="20" a="1"/>
  <c r="O41" i="20" s="1"/>
  <c r="O31" i="20" a="1"/>
  <c r="O31" i="20" s="1"/>
  <c r="O21" i="20" a="1"/>
  <c r="O21" i="20" s="1"/>
  <c r="O11" i="20" a="1"/>
  <c r="O11" i="20" s="1"/>
  <c r="P61" i="20" a="1"/>
  <c r="P61" i="20" s="1"/>
  <c r="L43" i="20" a="1"/>
  <c r="L43" i="20" s="1"/>
  <c r="N43" i="20" s="1"/>
  <c r="L72" i="20" a="1"/>
  <c r="L72" i="20" s="1"/>
  <c r="N72" i="20" s="1"/>
  <c r="L31" i="20" a="1"/>
  <c r="L31" i="20" s="1"/>
  <c r="N31" i="20" s="1"/>
  <c r="P38" i="20" a="1"/>
  <c r="P38" i="20" s="1"/>
  <c r="L30" i="20" a="1"/>
  <c r="L30" i="20" s="1"/>
  <c r="N30" i="20" s="1"/>
  <c r="K63" i="20" a="1"/>
  <c r="K63" i="20" s="1"/>
  <c r="K23" i="20" a="1"/>
  <c r="K23" i="20" s="1"/>
  <c r="K13" i="20" a="1"/>
  <c r="K13" i="20" s="1"/>
  <c r="K3" i="20" a="1"/>
  <c r="K3" i="20" s="1"/>
  <c r="L3" i="20" a="1"/>
  <c r="L3" i="20" s="1"/>
  <c r="N3" i="20" s="1"/>
  <c r="L12" i="20" a="1"/>
  <c r="L12" i="20" s="1"/>
  <c r="N12" i="20" s="1"/>
  <c r="K36" i="20" a="1"/>
  <c r="K36" i="20" s="1"/>
  <c r="O33" i="20" a="1"/>
  <c r="O33" i="20" s="1"/>
  <c r="L20" i="20" a="1"/>
  <c r="L20" i="20" s="1"/>
  <c r="N20" i="20" s="1"/>
  <c r="L58" i="20" a="1"/>
  <c r="L58" i="20" s="1"/>
  <c r="N58" i="20" s="1"/>
  <c r="P5" i="20" a="1"/>
  <c r="P5" i="20" s="1"/>
  <c r="O10" i="20" a="1"/>
  <c r="O10" i="20" s="1"/>
  <c r="P31" i="20" a="1"/>
  <c r="P31" i="20" s="1"/>
  <c r="O65" i="20" a="1"/>
  <c r="O65" i="20" s="1"/>
  <c r="P69" i="20" a="1"/>
  <c r="P69" i="20" s="1"/>
  <c r="K46" i="20" a="1"/>
  <c r="K46" i="20" s="1"/>
  <c r="O53" i="20" a="1"/>
  <c r="O53" i="20" s="1"/>
  <c r="L40" i="20" a="1"/>
  <c r="L40" i="20" s="1"/>
  <c r="N40" i="20" s="1"/>
  <c r="K43" i="20" a="1"/>
  <c r="K43" i="20" s="1"/>
  <c r="P55" i="20" a="1"/>
  <c r="P55" i="20" s="1"/>
  <c r="K62" i="20" a="1"/>
  <c r="K62" i="20" s="1"/>
  <c r="O6" i="20" a="1"/>
  <c r="O6" i="20" s="1"/>
  <c r="P10" i="20" a="1"/>
  <c r="P10" i="20" s="1"/>
  <c r="P39" i="20" a="1"/>
  <c r="P39" i="20" s="1"/>
  <c r="L61" i="20" a="1"/>
  <c r="L61" i="20" s="1"/>
  <c r="N61" i="20" s="1"/>
  <c r="P28" i="20" a="1"/>
  <c r="P28" i="20" s="1"/>
  <c r="L10" i="20" a="1"/>
  <c r="L10" i="20" s="1"/>
  <c r="N10" i="20" s="1"/>
  <c r="L48" i="20" a="1"/>
  <c r="L48" i="20" s="1"/>
  <c r="N48" i="20" s="1"/>
  <c r="L38" i="20" a="1"/>
  <c r="L38" i="20" s="1"/>
  <c r="N38" i="20" s="1"/>
  <c r="K53" i="20" a="1"/>
  <c r="K53" i="20" s="1"/>
  <c r="O30" i="20" a="1"/>
  <c r="O30" i="20" s="1"/>
  <c r="L37" i="20" a="1"/>
  <c r="L37" i="20" s="1"/>
  <c r="N37" i="20" s="1"/>
  <c r="K72" i="20" a="1"/>
  <c r="K72" i="20" s="1"/>
  <c r="K12" i="20" a="1"/>
  <c r="K12" i="20" s="1"/>
  <c r="P14" i="20" a="1"/>
  <c r="P14" i="20" s="1"/>
  <c r="O19" i="20" a="1"/>
  <c r="O19" i="20" s="1"/>
  <c r="L73" i="20" a="1"/>
  <c r="L73" i="20" s="1"/>
  <c r="P30" i="20" a="1"/>
  <c r="P30" i="20" s="1"/>
  <c r="L71" i="20" a="1"/>
  <c r="L71" i="20" s="1"/>
  <c r="N71" i="20" s="1"/>
  <c r="P68" i="20" a="1"/>
  <c r="P68" i="20" s="1"/>
  <c r="O13" i="20" a="1"/>
  <c r="O13" i="20" s="1"/>
  <c r="L60" i="20" a="1"/>
  <c r="L60" i="20" s="1"/>
  <c r="N60" i="20" s="1"/>
  <c r="K75" i="20" a="1"/>
  <c r="K75" i="20" s="1"/>
  <c r="L8" i="20" a="1"/>
  <c r="L8" i="20" s="1"/>
  <c r="N8" i="20" s="1"/>
  <c r="K73" i="20" a="1"/>
  <c r="K73" i="20" s="1"/>
  <c r="K33" i="20" a="1"/>
  <c r="K33" i="20" s="1"/>
  <c r="P75" i="20" a="1"/>
  <c r="P75" i="20" s="1"/>
  <c r="P25" i="20" a="1"/>
  <c r="P25" i="20" s="1"/>
  <c r="P15" i="20" a="1"/>
  <c r="P15" i="20" s="1"/>
  <c r="O60" i="20" a="1"/>
  <c r="O60" i="20" s="1"/>
  <c r="O20" i="20" a="1"/>
  <c r="O20" i="20" s="1"/>
  <c r="L47" i="20" a="1"/>
  <c r="L47" i="20" s="1"/>
  <c r="N47" i="20" s="1"/>
  <c r="L7" i="20" a="1"/>
  <c r="L7" i="20" s="1"/>
  <c r="N7" i="20" s="1"/>
  <c r="K52" i="20" a="1"/>
  <c r="K52" i="20" s="1"/>
  <c r="K32" i="20" a="1"/>
  <c r="K32" i="20" s="1"/>
  <c r="K2" i="20" a="1"/>
  <c r="K2" i="20" s="1"/>
  <c r="L66" i="20" a="1"/>
  <c r="L66" i="20" s="1"/>
  <c r="N66" i="20" s="1"/>
  <c r="L46" i="20" a="1"/>
  <c r="L46" i="20" s="1"/>
  <c r="N46" i="20" s="1"/>
  <c r="L26" i="20" a="1"/>
  <c r="L26" i="20" s="1"/>
  <c r="N26" i="20" s="1"/>
  <c r="L6" i="20" a="1"/>
  <c r="L6" i="20" s="1"/>
  <c r="N6" i="20" s="1"/>
  <c r="K41" i="20" a="1"/>
  <c r="K41" i="20" s="1"/>
  <c r="K21" i="20" a="1"/>
  <c r="K21" i="20" s="1"/>
  <c r="P71" i="20" a="1"/>
  <c r="P71" i="20" s="1"/>
  <c r="K68" i="20" a="1"/>
  <c r="K68" i="20" s="1"/>
  <c r="L42" i="20" a="1"/>
  <c r="L42" i="20" s="1"/>
  <c r="K76" i="20" a="1"/>
  <c r="K76" i="20" s="1"/>
  <c r="P58" i="20" a="1"/>
  <c r="P58" i="20" s="1"/>
  <c r="O73" i="20" a="1"/>
  <c r="O73" i="20" s="1"/>
  <c r="L50" i="20" a="1"/>
  <c r="L50" i="20" s="1"/>
  <c r="N50" i="20" s="1"/>
  <c r="K55" i="20" a="1"/>
  <c r="K55" i="20" s="1"/>
  <c r="L28" i="20" a="1"/>
  <c r="L28" i="20" s="1"/>
  <c r="N28" i="20" s="1"/>
  <c r="P65" i="20" a="1"/>
  <c r="P65" i="20" s="1"/>
  <c r="P35" i="20" a="1"/>
  <c r="P35" i="20" s="1"/>
  <c r="O70" i="20" a="1"/>
  <c r="O70" i="20" s="1"/>
  <c r="O40" i="20" a="1"/>
  <c r="O40" i="20" s="1"/>
  <c r="L57" i="20" a="1"/>
  <c r="L57" i="20" s="1"/>
  <c r="N57" i="20" s="1"/>
  <c r="L17" i="20" a="1"/>
  <c r="L17" i="20" s="1"/>
  <c r="N17" i="20" s="1"/>
  <c r="P43" i="20" a="1"/>
  <c r="P43" i="20" s="1"/>
  <c r="P3" i="20" a="1"/>
  <c r="P3" i="20" s="1"/>
  <c r="O18" i="20" a="1"/>
  <c r="O18" i="20" s="1"/>
  <c r="O66" i="20" a="1"/>
  <c r="O66" i="20" s="1"/>
  <c r="L13" i="20" a="1"/>
  <c r="L13" i="20" s="1"/>
  <c r="N13" i="20" s="1"/>
  <c r="L62" i="20" a="1"/>
  <c r="L62" i="20" s="1"/>
  <c r="N62" i="20" s="1"/>
  <c r="L51" i="20" a="1"/>
  <c r="L51" i="20" s="1"/>
  <c r="N51" i="20" s="1"/>
  <c r="P18" i="20" a="1"/>
  <c r="P18" i="20" s="1"/>
  <c r="K65" i="20" a="1"/>
  <c r="K65" i="20" s="1"/>
  <c r="L68" i="20" a="1"/>
  <c r="L68" i="20" s="1"/>
  <c r="N68" i="20" s="1"/>
  <c r="P45" i="20" a="1"/>
  <c r="P45" i="20" s="1"/>
  <c r="O50" i="20" a="1"/>
  <c r="O50" i="20" s="1"/>
  <c r="L67" i="20" a="1"/>
  <c r="L67" i="20" s="1"/>
  <c r="N67" i="20" s="1"/>
  <c r="L27" i="20" a="1"/>
  <c r="L27" i="20" s="1"/>
  <c r="N27" i="20" s="1"/>
  <c r="P63" i="20" a="1"/>
  <c r="P63" i="20" s="1"/>
  <c r="P23" i="20" a="1"/>
  <c r="P23" i="20" s="1"/>
  <c r="P13" i="20" a="1"/>
  <c r="P13" i="20" s="1"/>
  <c r="L65" i="20" a="1"/>
  <c r="L65" i="20" s="1"/>
  <c r="N65" i="20" s="1"/>
  <c r="L45" i="20" a="1"/>
  <c r="L45" i="20" s="1"/>
  <c r="N45" i="20" s="1"/>
  <c r="L25" i="20" a="1"/>
  <c r="L25" i="20" s="1"/>
  <c r="N25" i="20" s="1"/>
  <c r="L15" i="20" a="1"/>
  <c r="L15" i="20" s="1"/>
  <c r="N15" i="20" s="1"/>
  <c r="L5" i="20" a="1"/>
  <c r="L5" i="20" s="1"/>
  <c r="N5" i="20" s="1"/>
  <c r="K20" i="20" a="1"/>
  <c r="K20" i="20" s="1"/>
  <c r="P32" i="20" a="1"/>
  <c r="P32" i="20" s="1"/>
  <c r="P22" i="20" a="1"/>
  <c r="P22" i="20" s="1"/>
  <c r="P12" i="20" a="1"/>
  <c r="P12" i="20" s="1"/>
  <c r="O67" i="20" a="1"/>
  <c r="O67" i="20" s="1"/>
  <c r="O27" i="20" a="1"/>
  <c r="O27" i="20" s="1"/>
  <c r="O17" i="20" a="1"/>
  <c r="O17" i="20" s="1"/>
  <c r="O41" i="18" a="1"/>
  <c r="O41" i="18" s="1"/>
  <c r="O21" i="18" a="1"/>
  <c r="O21" i="18" s="1"/>
  <c r="O70" i="18" a="1"/>
  <c r="O70" i="18" s="1"/>
  <c r="O46" i="18" a="1"/>
  <c r="O46" i="18" s="1"/>
  <c r="O40" i="18" a="1"/>
  <c r="O40" i="18" s="1"/>
  <c r="T72" i="18" a="1"/>
  <c r="T72" i="18" s="1"/>
  <c r="S27" i="18" a="1"/>
  <c r="S27" i="18" s="1"/>
  <c r="O60" i="18" a="1"/>
  <c r="O60" i="18" s="1"/>
  <c r="P31" i="18" a="1"/>
  <c r="P31" i="18" s="1"/>
  <c r="S47" i="18" a="1"/>
  <c r="S47" i="18" s="1"/>
  <c r="T12" i="18" a="1"/>
  <c r="T12" i="18" s="1"/>
  <c r="O61" i="18" a="1"/>
  <c r="O61" i="18" s="1"/>
  <c r="S58" i="18" a="1"/>
  <c r="S58" i="18" s="1"/>
  <c r="S38" i="18" a="1"/>
  <c r="S38" i="18" s="1"/>
  <c r="T22" i="18" a="1"/>
  <c r="T22" i="18" s="1"/>
  <c r="R75" i="18"/>
  <c r="U75" i="18" s="1"/>
  <c r="O66" i="18" a="1"/>
  <c r="O66" i="18" s="1"/>
  <c r="O50" i="18" a="1"/>
  <c r="O50" i="18" s="1"/>
  <c r="P65" i="18" a="1"/>
  <c r="P65" i="18" s="1"/>
  <c r="R65" i="18" s="1"/>
  <c r="U65" i="18" s="1"/>
  <c r="O76" i="18" a="1"/>
  <c r="O76" i="18" s="1"/>
  <c r="O56" i="18" a="1"/>
  <c r="O56" i="18" s="1"/>
  <c r="O36" i="18" a="1"/>
  <c r="O36" i="18" s="1"/>
  <c r="O16" i="18" a="1"/>
  <c r="O16" i="18" s="1"/>
  <c r="S48" i="18" a="1"/>
  <c r="S48" i="18" s="1"/>
  <c r="R35" i="18"/>
  <c r="U35" i="18" s="1"/>
  <c r="P51" i="18" a="1"/>
  <c r="P51" i="18" s="1"/>
  <c r="R51" i="18" s="1"/>
  <c r="U51" i="18" s="1"/>
  <c r="O26" i="18" a="1"/>
  <c r="O26" i="18" s="1"/>
  <c r="P55" i="18" a="1"/>
  <c r="P55" i="18" s="1"/>
  <c r="R55" i="18" s="1"/>
  <c r="U55" i="18" s="1"/>
  <c r="P15" i="18" a="1"/>
  <c r="P15" i="18" s="1"/>
  <c r="R15" i="18" s="1"/>
  <c r="U15" i="18" s="1"/>
  <c r="S7" i="18" a="1"/>
  <c r="S7" i="18" s="1"/>
  <c r="P75" i="18" a="1"/>
  <c r="P75" i="18" s="1"/>
  <c r="P35" i="18" a="1"/>
  <c r="P35" i="18" s="1"/>
  <c r="O11" i="18" a="1"/>
  <c r="O11" i="18" s="1"/>
  <c r="O10" i="18" a="1"/>
  <c r="O10" i="18" s="1"/>
  <c r="S8" i="18" a="1"/>
  <c r="S8" i="18" s="1"/>
  <c r="S67" i="18" a="1"/>
  <c r="S67" i="18" s="1"/>
  <c r="S68" i="18" a="1"/>
  <c r="S68" i="18" s="1"/>
  <c r="P25" i="18" a="1"/>
  <c r="P25" i="18" s="1"/>
  <c r="R25" i="18" s="1"/>
  <c r="U25" i="18" s="1"/>
  <c r="S17" i="18" a="1"/>
  <c r="S17" i="18" s="1"/>
  <c r="S28" i="18" a="1"/>
  <c r="S28" i="18" s="1"/>
  <c r="O30" i="18" a="1"/>
  <c r="O30" i="18" s="1"/>
  <c r="P45" i="18" a="1"/>
  <c r="P45" i="18" s="1"/>
  <c r="R45" i="18" s="1"/>
  <c r="U45" i="18" s="1"/>
  <c r="R14" i="18"/>
  <c r="U14" i="18" s="1"/>
  <c r="R71" i="18"/>
  <c r="U71" i="18" s="1"/>
  <c r="R31" i="18"/>
  <c r="U31" i="18" s="1"/>
  <c r="T7" i="18" a="1"/>
  <c r="T7" i="18" s="1"/>
  <c r="P34" i="18" a="1"/>
  <c r="P34" i="18" s="1"/>
  <c r="R34" i="18" s="1"/>
  <c r="U34" i="18" s="1"/>
  <c r="O9" i="18" a="1"/>
  <c r="O9" i="18" s="1"/>
  <c r="T11" i="18" a="1"/>
  <c r="T11" i="18" s="1"/>
  <c r="S6" i="18" a="1"/>
  <c r="S6" i="18" s="1"/>
  <c r="P73" i="18" a="1"/>
  <c r="P73" i="18" s="1"/>
  <c r="P63" i="18" a="1"/>
  <c r="P63" i="18" s="1"/>
  <c r="P53" i="18" a="1"/>
  <c r="P53" i="18" s="1"/>
  <c r="P43" i="18" a="1"/>
  <c r="P43" i="18" s="1"/>
  <c r="R43" i="18" s="1"/>
  <c r="U43" i="18" s="1"/>
  <c r="P33" i="18" a="1"/>
  <c r="P33" i="18" s="1"/>
  <c r="P23" i="18" a="1"/>
  <c r="P23" i="18" s="1"/>
  <c r="R23" i="18" s="1"/>
  <c r="U23" i="18" s="1"/>
  <c r="P13" i="18" a="1"/>
  <c r="P13" i="18" s="1"/>
  <c r="P3" i="18" a="1"/>
  <c r="P3" i="18" s="1"/>
  <c r="O68" i="18" a="1"/>
  <c r="O68" i="18" s="1"/>
  <c r="O58" i="18" a="1"/>
  <c r="O58" i="18" s="1"/>
  <c r="O48" i="18" a="1"/>
  <c r="O48" i="18" s="1"/>
  <c r="O38" i="18" a="1"/>
  <c r="O38" i="18" s="1"/>
  <c r="O28" i="18" a="1"/>
  <c r="O28" i="18" s="1"/>
  <c r="O18" i="18" a="1"/>
  <c r="O18" i="18" s="1"/>
  <c r="O8" i="18" a="1"/>
  <c r="O8" i="18" s="1"/>
  <c r="T57" i="18" a="1"/>
  <c r="T57" i="18" s="1"/>
  <c r="P54" i="18" a="1"/>
  <c r="P54" i="18" s="1"/>
  <c r="R54" i="18" s="1"/>
  <c r="U54" i="18" s="1"/>
  <c r="O69" i="18" a="1"/>
  <c r="O69" i="18" s="1"/>
  <c r="T71" i="18" a="1"/>
  <c r="T71" i="18" s="1"/>
  <c r="T61" i="18" a="1"/>
  <c r="T61" i="18" s="1"/>
  <c r="T41" i="18" a="1"/>
  <c r="T41" i="18" s="1"/>
  <c r="T21" i="18" a="1"/>
  <c r="T21" i="18" s="1"/>
  <c r="S16" i="18" a="1"/>
  <c r="S16" i="18" s="1"/>
  <c r="S65" i="18" a="1"/>
  <c r="S65" i="18" s="1"/>
  <c r="S5" i="18" a="1"/>
  <c r="S5" i="18" s="1"/>
  <c r="R63" i="18"/>
  <c r="U63" i="18" s="1"/>
  <c r="R3" i="18"/>
  <c r="U3" i="18" s="1"/>
  <c r="T37" i="18" a="1"/>
  <c r="T37" i="18" s="1"/>
  <c r="P64" i="18" a="1"/>
  <c r="P64" i="18" s="1"/>
  <c r="R64" i="18" s="1"/>
  <c r="U64" i="18" s="1"/>
  <c r="O59" i="18" a="1"/>
  <c r="O59" i="18" s="1"/>
  <c r="T51" i="18" a="1"/>
  <c r="T51" i="18" s="1"/>
  <c r="S26" i="18" a="1"/>
  <c r="S26" i="18" s="1"/>
  <c r="T50" i="18" a="1"/>
  <c r="T50" i="18" s="1"/>
  <c r="T40" i="18" a="1"/>
  <c r="T40" i="18" s="1"/>
  <c r="S35" i="18" a="1"/>
  <c r="S35" i="18" s="1"/>
  <c r="P62" i="18" a="1"/>
  <c r="P62" i="18" s="1"/>
  <c r="R62" i="18" s="1"/>
  <c r="U62" i="18" s="1"/>
  <c r="P52" i="18" a="1"/>
  <c r="P52" i="18" s="1"/>
  <c r="R52" i="18" s="1"/>
  <c r="U52" i="18" s="1"/>
  <c r="P42" i="18" a="1"/>
  <c r="P42" i="18" s="1"/>
  <c r="R42" i="18" s="1"/>
  <c r="U42" i="18" s="1"/>
  <c r="P32" i="18" a="1"/>
  <c r="P32" i="18" s="1"/>
  <c r="R32" i="18" s="1"/>
  <c r="U32" i="18" s="1"/>
  <c r="P22" i="18" a="1"/>
  <c r="P22" i="18" s="1"/>
  <c r="R22" i="18" s="1"/>
  <c r="U22" i="18" s="1"/>
  <c r="P12" i="18" a="1"/>
  <c r="P12" i="18" s="1"/>
  <c r="R12" i="18" s="1"/>
  <c r="U12" i="18" s="1"/>
  <c r="P2" i="18" a="1"/>
  <c r="P2" i="18" s="1"/>
  <c r="R2" i="18" s="1"/>
  <c r="U2" i="18" s="1"/>
  <c r="O67" i="18" a="1"/>
  <c r="O67" i="18" s="1"/>
  <c r="O57" i="18" a="1"/>
  <c r="O57" i="18" s="1"/>
  <c r="O47" i="18" a="1"/>
  <c r="O47" i="18" s="1"/>
  <c r="O37" i="18" a="1"/>
  <c r="O37" i="18" s="1"/>
  <c r="O27" i="18" a="1"/>
  <c r="O27" i="18" s="1"/>
  <c r="O17" i="18" a="1"/>
  <c r="O17" i="18" s="1"/>
  <c r="O7" i="18" a="1"/>
  <c r="O7" i="18" s="1"/>
  <c r="T27" i="18" a="1"/>
  <c r="T27" i="18" s="1"/>
  <c r="P14" i="18" a="1"/>
  <c r="P14" i="18" s="1"/>
  <c r="O39" i="18" a="1"/>
  <c r="O39" i="18" s="1"/>
  <c r="S56" i="18" a="1"/>
  <c r="S56" i="18" s="1"/>
  <c r="T30" i="18" a="1"/>
  <c r="T30" i="18" s="1"/>
  <c r="T20" i="18" a="1"/>
  <c r="T20" i="18" s="1"/>
  <c r="S25" i="18" a="1"/>
  <c r="S25" i="18" s="1"/>
  <c r="T69" i="18" a="1"/>
  <c r="T69" i="18" s="1"/>
  <c r="T39" i="18" a="1"/>
  <c r="T39" i="18" s="1"/>
  <c r="T9" i="18" a="1"/>
  <c r="T9" i="18" s="1"/>
  <c r="S44" i="18" a="1"/>
  <c r="S44" i="18" s="1"/>
  <c r="S24" i="18" a="1"/>
  <c r="S24" i="18" s="1"/>
  <c r="S4" i="18" a="1"/>
  <c r="S4" i="18" s="1"/>
  <c r="T67" i="18" a="1"/>
  <c r="T67" i="18" s="1"/>
  <c r="P44" i="18" a="1"/>
  <c r="P44" i="18" s="1"/>
  <c r="R44" i="18" s="1"/>
  <c r="U44" i="18" s="1"/>
  <c r="O49" i="18" a="1"/>
  <c r="O49" i="18" s="1"/>
  <c r="T31" i="18" a="1"/>
  <c r="T31" i="18" s="1"/>
  <c r="S36" i="18" a="1"/>
  <c r="S36" i="18" s="1"/>
  <c r="T10" i="18" a="1"/>
  <c r="T10" i="18" s="1"/>
  <c r="S15" i="18" a="1"/>
  <c r="S15" i="18" s="1"/>
  <c r="T59" i="18" a="1"/>
  <c r="T59" i="18" s="1"/>
  <c r="S34" i="18" a="1"/>
  <c r="S34" i="18" s="1"/>
  <c r="S14" i="18" a="1"/>
  <c r="S14" i="18" s="1"/>
  <c r="P61" i="18" a="1"/>
  <c r="P61" i="18" s="1"/>
  <c r="R61" i="18" s="1"/>
  <c r="U61" i="18" s="1"/>
  <c r="P41" i="18" a="1"/>
  <c r="P41" i="18" s="1"/>
  <c r="R41" i="18" s="1"/>
  <c r="U41" i="18" s="1"/>
  <c r="P21" i="18" a="1"/>
  <c r="P21" i="18" s="1"/>
  <c r="R21" i="18" s="1"/>
  <c r="U21" i="18" s="1"/>
  <c r="P11" i="18" a="1"/>
  <c r="P11" i="18" s="1"/>
  <c r="R11" i="18" s="1"/>
  <c r="U11" i="18" s="1"/>
  <c r="O6" i="18" a="1"/>
  <c r="O6" i="18" s="1"/>
  <c r="P24" i="18" a="1"/>
  <c r="P24" i="18" s="1"/>
  <c r="R24" i="18" s="1"/>
  <c r="U24" i="18" s="1"/>
  <c r="O19" i="18" a="1"/>
  <c r="O19" i="18" s="1"/>
  <c r="S66" i="18" a="1"/>
  <c r="S66" i="18" s="1"/>
  <c r="T70" i="18" a="1"/>
  <c r="T70" i="18" s="1"/>
  <c r="T60" i="18" a="1"/>
  <c r="T60" i="18" s="1"/>
  <c r="S55" i="18" a="1"/>
  <c r="S55" i="18" s="1"/>
  <c r="P72" i="18" a="1"/>
  <c r="P72" i="18" s="1"/>
  <c r="R72" i="18" s="1"/>
  <c r="U72" i="18" s="1"/>
  <c r="T49" i="18" a="1"/>
  <c r="T49" i="18" s="1"/>
  <c r="T29" i="18" a="1"/>
  <c r="T29" i="18" s="1"/>
  <c r="S64" i="18" a="1"/>
  <c r="S64" i="18" s="1"/>
  <c r="T68" i="18" a="1"/>
  <c r="T68" i="18" s="1"/>
  <c r="T58" i="18" a="1"/>
  <c r="T58" i="18" s="1"/>
  <c r="T28" i="18" a="1"/>
  <c r="T28" i="18" s="1"/>
  <c r="T18" i="18" a="1"/>
  <c r="T18" i="18" s="1"/>
  <c r="S73" i="18" a="1"/>
  <c r="S73" i="18" s="1"/>
  <c r="S53" i="18" a="1"/>
  <c r="S53" i="18" s="1"/>
  <c r="S33" i="18" a="1"/>
  <c r="S33" i="18" s="1"/>
  <c r="S23" i="18" a="1"/>
  <c r="S23" i="18" s="1"/>
  <c r="S13" i="18" a="1"/>
  <c r="S13" i="18" s="1"/>
  <c r="S3" i="18" a="1"/>
  <c r="S3" i="18" s="1"/>
  <c r="T47" i="18" a="1"/>
  <c r="T47" i="18" s="1"/>
  <c r="P74" i="18" a="1"/>
  <c r="P74" i="18" s="1"/>
  <c r="R74" i="18" s="1"/>
  <c r="U74" i="18" s="1"/>
  <c r="P4" i="18" a="1"/>
  <c r="P4" i="18" s="1"/>
  <c r="R4" i="18" s="1"/>
  <c r="U4" i="18" s="1"/>
  <c r="O29" i="18" a="1"/>
  <c r="O29" i="18" s="1"/>
  <c r="S76" i="18" a="1"/>
  <c r="S76" i="18" s="1"/>
  <c r="S46" i="18" a="1"/>
  <c r="S46" i="18" s="1"/>
  <c r="S75" i="18" a="1"/>
  <c r="S75" i="18" s="1"/>
  <c r="S45" i="18" a="1"/>
  <c r="S45" i="18" s="1"/>
  <c r="T19" i="18" a="1"/>
  <c r="T19" i="18" s="1"/>
  <c r="S74" i="18" a="1"/>
  <c r="S74" i="18" s="1"/>
  <c r="S54" i="18" a="1"/>
  <c r="S54" i="18" s="1"/>
  <c r="T48" i="18" a="1"/>
  <c r="T48" i="18" s="1"/>
  <c r="T38" i="18" a="1"/>
  <c r="T38" i="18" s="1"/>
  <c r="T8" i="18" a="1"/>
  <c r="T8" i="18" s="1"/>
  <c r="S63" i="18" a="1"/>
  <c r="S63" i="18" s="1"/>
  <c r="S43" i="18" a="1"/>
  <c r="S43" i="18" s="1"/>
  <c r="P70" i="18" a="1"/>
  <c r="P70" i="18" s="1"/>
  <c r="R70" i="18" s="1"/>
  <c r="U70" i="18" s="1"/>
  <c r="P60" i="18" a="1"/>
  <c r="P60" i="18" s="1"/>
  <c r="R60" i="18" s="1"/>
  <c r="U60" i="18" s="1"/>
  <c r="P50" i="18" a="1"/>
  <c r="P50" i="18" s="1"/>
  <c r="R50" i="18" s="1"/>
  <c r="U50" i="18" s="1"/>
  <c r="P40" i="18" a="1"/>
  <c r="P40" i="18" s="1"/>
  <c r="R40" i="18" s="1"/>
  <c r="U40" i="18" s="1"/>
  <c r="P30" i="18" a="1"/>
  <c r="P30" i="18" s="1"/>
  <c r="R30" i="18" s="1"/>
  <c r="U30" i="18" s="1"/>
  <c r="P20" i="18" a="1"/>
  <c r="P20" i="18" s="1"/>
  <c r="R20" i="18" s="1"/>
  <c r="U20" i="18" s="1"/>
  <c r="P10" i="18" a="1"/>
  <c r="P10" i="18" s="1"/>
  <c r="R10" i="18" s="1"/>
  <c r="U10" i="18" s="1"/>
  <c r="O75" i="18" a="1"/>
  <c r="O75" i="18" s="1"/>
  <c r="O65" i="18" a="1"/>
  <c r="O65" i="18" s="1"/>
  <c r="O55" i="18" a="1"/>
  <c r="O55" i="18" s="1"/>
  <c r="O45" i="18" a="1"/>
  <c r="O45" i="18" s="1"/>
  <c r="O35" i="18" a="1"/>
  <c r="O35" i="18" s="1"/>
  <c r="O25" i="18" a="1"/>
  <c r="O25" i="18" s="1"/>
  <c r="O15" i="18" a="1"/>
  <c r="O15" i="18" s="1"/>
  <c r="O5" i="18" a="1"/>
  <c r="O5" i="18" s="1"/>
  <c r="S62" i="18" a="1"/>
  <c r="S62" i="18" s="1"/>
  <c r="S52" i="18" a="1"/>
  <c r="S52" i="18" s="1"/>
  <c r="S42" i="18" a="1"/>
  <c r="S42" i="18" s="1"/>
  <c r="S32" i="18" a="1"/>
  <c r="S32" i="18" s="1"/>
  <c r="S22" i="18" a="1"/>
  <c r="S22" i="18" s="1"/>
  <c r="S12" i="18" a="1"/>
  <c r="S12" i="18" s="1"/>
  <c r="S2" i="18" a="1"/>
  <c r="S2" i="18" s="1"/>
  <c r="P49" i="18" a="1"/>
  <c r="P49" i="18" s="1"/>
  <c r="R49" i="18" s="1"/>
  <c r="U49" i="18" s="1"/>
  <c r="P39" i="18" a="1"/>
  <c r="P39" i="18" s="1"/>
  <c r="R39" i="18" s="1"/>
  <c r="U39" i="18" s="1"/>
  <c r="P29" i="18" a="1"/>
  <c r="P29" i="18" s="1"/>
  <c r="R29" i="18" s="1"/>
  <c r="U29" i="18" s="1"/>
  <c r="P19" i="18" a="1"/>
  <c r="P19" i="18" s="1"/>
  <c r="R19" i="18" s="1"/>
  <c r="U19" i="18" s="1"/>
  <c r="P9" i="18" a="1"/>
  <c r="P9" i="18" s="1"/>
  <c r="R9" i="18" s="1"/>
  <c r="U9" i="18" s="1"/>
  <c r="O74" i="18" a="1"/>
  <c r="O74" i="18" s="1"/>
  <c r="O64" i="18" a="1"/>
  <c r="O64" i="18" s="1"/>
  <c r="O54" i="18" a="1"/>
  <c r="O54" i="18" s="1"/>
  <c r="O44" i="18" a="1"/>
  <c r="O44" i="18" s="1"/>
  <c r="O34" i="18" a="1"/>
  <c r="O34" i="18" s="1"/>
  <c r="O24" i="18" a="1"/>
  <c r="O24" i="18" s="1"/>
  <c r="O14" i="18" a="1"/>
  <c r="O14" i="18" s="1"/>
  <c r="O4" i="18" a="1"/>
  <c r="O4" i="18" s="1"/>
  <c r="T36" i="18" a="1"/>
  <c r="T36" i="18" s="1"/>
  <c r="T26" i="18" a="1"/>
  <c r="T26" i="18" s="1"/>
  <c r="T16" i="18" a="1"/>
  <c r="T16" i="18" s="1"/>
  <c r="T6" i="18" a="1"/>
  <c r="T6" i="18" s="1"/>
  <c r="S71" i="18" a="1"/>
  <c r="S71" i="18" s="1"/>
  <c r="S61" i="18" a="1"/>
  <c r="S61" i="18" s="1"/>
  <c r="S51" i="18" a="1"/>
  <c r="S51" i="18" s="1"/>
  <c r="S41" i="18" a="1"/>
  <c r="S41" i="18" s="1"/>
  <c r="S31" i="18" a="1"/>
  <c r="S31" i="18" s="1"/>
  <c r="S21" i="18" a="1"/>
  <c r="S21" i="18" s="1"/>
  <c r="S11" i="18" a="1"/>
  <c r="S11" i="18" s="1"/>
  <c r="T66" i="18" a="1"/>
  <c r="T66" i="18" s="1"/>
  <c r="P28" i="18" a="1"/>
  <c r="P28" i="18" s="1"/>
  <c r="R28" i="18" s="1"/>
  <c r="U28" i="18" s="1"/>
  <c r="P18" i="18" a="1"/>
  <c r="P18" i="18" s="1"/>
  <c r="R18" i="18" s="1"/>
  <c r="U18" i="18" s="1"/>
  <c r="P8" i="18" a="1"/>
  <c r="P8" i="18" s="1"/>
  <c r="R8" i="18" s="1"/>
  <c r="U8" i="18" s="1"/>
  <c r="O73" i="18" a="1"/>
  <c r="O73" i="18" s="1"/>
  <c r="O63" i="18" a="1"/>
  <c r="O63" i="18" s="1"/>
  <c r="O53" i="18" a="1"/>
  <c r="O53" i="18" s="1"/>
  <c r="O43" i="18" a="1"/>
  <c r="O43" i="18" s="1"/>
  <c r="O33" i="18" a="1"/>
  <c r="O33" i="18" s="1"/>
  <c r="O23" i="18" a="1"/>
  <c r="O23" i="18" s="1"/>
  <c r="O13" i="18" a="1"/>
  <c r="O13" i="18" s="1"/>
  <c r="O3" i="18" a="1"/>
  <c r="O3" i="18" s="1"/>
  <c r="T55" i="18" a="1"/>
  <c r="T55" i="18" s="1"/>
  <c r="S70" i="18" a="1"/>
  <c r="S70" i="18" s="1"/>
  <c r="S60" i="18" a="1"/>
  <c r="S60" i="18" s="1"/>
  <c r="S50" i="18" a="1"/>
  <c r="S50" i="18" s="1"/>
  <c r="S40" i="18" a="1"/>
  <c r="S40" i="18" s="1"/>
  <c r="S30" i="18" a="1"/>
  <c r="S30" i="18" s="1"/>
  <c r="S20" i="18" a="1"/>
  <c r="S20" i="18" s="1"/>
  <c r="S10" i="18" a="1"/>
  <c r="S10" i="18" s="1"/>
  <c r="R73" i="18"/>
  <c r="U73" i="18" s="1"/>
  <c r="R53" i="18"/>
  <c r="U53" i="18" s="1"/>
  <c r="R33" i="18"/>
  <c r="U33" i="18" s="1"/>
  <c r="R13" i="18"/>
  <c r="U13" i="18" s="1"/>
  <c r="P69" i="18" a="1"/>
  <c r="P69" i="18" s="1"/>
  <c r="R69" i="18" s="1"/>
  <c r="U69" i="18" s="1"/>
  <c r="P68" i="18" a="1"/>
  <c r="P68" i="18" s="1"/>
  <c r="R68" i="18" s="1"/>
  <c r="U68" i="18" s="1"/>
  <c r="T25" i="18" a="1"/>
  <c r="T25" i="18" s="1"/>
  <c r="P47" i="18" a="1"/>
  <c r="P47" i="18" s="1"/>
  <c r="R47" i="18" s="1"/>
  <c r="U47" i="18" s="1"/>
  <c r="O72" i="18" a="1"/>
  <c r="O72" i="18" s="1"/>
  <c r="O62" i="18" a="1"/>
  <c r="O62" i="18" s="1"/>
  <c r="O52" i="18" a="1"/>
  <c r="O52" i="18" s="1"/>
  <c r="O42" i="18" a="1"/>
  <c r="O42" i="18" s="1"/>
  <c r="O32" i="18" a="1"/>
  <c r="O32" i="18" s="1"/>
  <c r="O22" i="18" a="1"/>
  <c r="O22" i="18" s="1"/>
  <c r="O12" i="18" a="1"/>
  <c r="O12" i="18" s="1"/>
  <c r="O2" i="18" a="1"/>
  <c r="O2" i="18" s="1"/>
  <c r="P58" i="18" a="1"/>
  <c r="P58" i="18" s="1"/>
  <c r="R58" i="18" s="1"/>
  <c r="U58" i="18" s="1"/>
  <c r="T45" i="18" a="1"/>
  <c r="T45" i="18" s="1"/>
  <c r="P37" i="18" a="1"/>
  <c r="P37" i="18" s="1"/>
  <c r="R37" i="18" s="1"/>
  <c r="U37" i="18" s="1"/>
  <c r="T34" i="18" a="1"/>
  <c r="T34" i="18" s="1"/>
  <c r="S59" i="18" a="1"/>
  <c r="S59" i="18" s="1"/>
  <c r="S49" i="18" a="1"/>
  <c r="S49" i="18" s="1"/>
  <c r="S39" i="18" a="1"/>
  <c r="S39" i="18" s="1"/>
  <c r="S29" i="18" a="1"/>
  <c r="S29" i="18" s="1"/>
  <c r="S19" i="18" a="1"/>
  <c r="S19" i="18" s="1"/>
  <c r="S9" i="18" a="1"/>
  <c r="S9" i="18" s="1"/>
  <c r="T17" i="18" a="1"/>
  <c r="T17" i="18" s="1"/>
  <c r="T46" i="18" a="1"/>
  <c r="T46" i="18" s="1"/>
  <c r="T75" i="18" a="1"/>
  <c r="T75" i="18" s="1"/>
  <c r="T5" i="18" a="1"/>
  <c r="T5" i="18" s="1"/>
  <c r="P27" i="18" a="1"/>
  <c r="P27" i="18" s="1"/>
  <c r="R27" i="18" s="1"/>
  <c r="U27" i="18" s="1"/>
  <c r="T64" i="18" a="1"/>
  <c r="T64" i="18" s="1"/>
  <c r="T14" i="18" a="1"/>
  <c r="T14" i="18" s="1"/>
  <c r="P66" i="18" a="1"/>
  <c r="P66" i="18" s="1"/>
  <c r="R66" i="18" s="1"/>
  <c r="U66" i="18" s="1"/>
  <c r="P46" i="18" a="1"/>
  <c r="P46" i="18" s="1"/>
  <c r="R46" i="18" s="1"/>
  <c r="U46" i="18" s="1"/>
  <c r="P16" i="18" a="1"/>
  <c r="P16" i="18" s="1"/>
  <c r="R16" i="18" s="1"/>
  <c r="U16" i="18" s="1"/>
  <c r="O51" i="18" a="1"/>
  <c r="O51" i="18" s="1"/>
  <c r="O31" i="18" a="1"/>
  <c r="O31" i="18" s="1"/>
  <c r="S72" i="18" a="1"/>
  <c r="S72" i="18" s="1"/>
  <c r="T56" i="18" a="1"/>
  <c r="T56" i="18" s="1"/>
  <c r="T65" i="18" a="1"/>
  <c r="T65" i="18" s="1"/>
  <c r="P67" i="18" a="1"/>
  <c r="P67" i="18" s="1"/>
  <c r="R67" i="18" s="1"/>
  <c r="U67" i="18" s="1"/>
  <c r="P7" i="18" a="1"/>
  <c r="P7" i="18" s="1"/>
  <c r="R7" i="18" s="1"/>
  <c r="U7" i="18" s="1"/>
  <c r="T44" i="18" a="1"/>
  <c r="T44" i="18" s="1"/>
  <c r="S69" i="18" a="1"/>
  <c r="S69" i="18" s="1"/>
  <c r="P56" i="18" a="1"/>
  <c r="P56" i="18" s="1"/>
  <c r="R56" i="18" s="1"/>
  <c r="U56" i="18" s="1"/>
  <c r="P36" i="18" a="1"/>
  <c r="P36" i="18" s="1"/>
  <c r="R36" i="18" s="1"/>
  <c r="U36" i="18" s="1"/>
  <c r="O71" i="18" a="1"/>
  <c r="O71" i="18" s="1"/>
  <c r="T63" i="18" a="1"/>
  <c r="T63" i="18" s="1"/>
  <c r="T43" i="18" a="1"/>
  <c r="T43" i="18" s="1"/>
  <c r="T23" i="18" a="1"/>
  <c r="T23" i="18" s="1"/>
  <c r="T3" i="18" a="1"/>
  <c r="T3" i="18" s="1"/>
  <c r="S18" i="18" a="1"/>
  <c r="S18" i="18" s="1"/>
  <c r="P59" i="18" a="1"/>
  <c r="P59" i="18" s="1"/>
  <c r="R59" i="18" s="1"/>
  <c r="U59" i="18" s="1"/>
  <c r="P38" i="18" a="1"/>
  <c r="P38" i="18" s="1"/>
  <c r="R38" i="18" s="1"/>
  <c r="U38" i="18" s="1"/>
  <c r="T15" i="18" a="1"/>
  <c r="T15" i="18" s="1"/>
  <c r="P17" i="18" a="1"/>
  <c r="P17" i="18" s="1"/>
  <c r="R17" i="18" s="1"/>
  <c r="U17" i="18" s="1"/>
  <c r="T54" i="18" a="1"/>
  <c r="T54" i="18" s="1"/>
  <c r="T4" i="18" a="1"/>
  <c r="T4" i="18" s="1"/>
  <c r="P76" i="18" a="1"/>
  <c r="P76" i="18" s="1"/>
  <c r="R76" i="18" s="1"/>
  <c r="U76" i="18" s="1"/>
  <c r="P26" i="18" a="1"/>
  <c r="P26" i="18" s="1"/>
  <c r="R26" i="18" s="1"/>
  <c r="U26" i="18" s="1"/>
  <c r="P6" i="18" a="1"/>
  <c r="P6" i="18" s="1"/>
  <c r="R6" i="18" s="1"/>
  <c r="U6" i="18" s="1"/>
  <c r="T73" i="18" a="1"/>
  <c r="T73" i="18" s="1"/>
  <c r="T53" i="18" a="1"/>
  <c r="T53" i="18" s="1"/>
  <c r="T33" i="18" a="1"/>
  <c r="T33" i="18" s="1"/>
  <c r="T13" i="18" a="1"/>
  <c r="T13" i="18" s="1"/>
  <c r="P5" i="18" a="1"/>
  <c r="P5" i="18" s="1"/>
  <c r="R5" i="18" s="1"/>
  <c r="U5" i="18" s="1"/>
  <c r="O20" i="18" a="1"/>
  <c r="O20" i="18" s="1"/>
  <c r="T76" i="18" a="1"/>
  <c r="T76" i="18" s="1"/>
  <c r="P48" i="18" a="1"/>
  <c r="P48" i="18" s="1"/>
  <c r="R48" i="18" s="1"/>
  <c r="U48" i="18" s="1"/>
  <c r="T35" i="18" a="1"/>
  <c r="T35" i="18" s="1"/>
  <c r="P57" i="18" a="1"/>
  <c r="P57" i="18" s="1"/>
  <c r="R57" i="18" s="1"/>
  <c r="U57" i="18" s="1"/>
  <c r="T74" i="18" a="1"/>
  <c r="T74" i="18" s="1"/>
  <c r="T24" i="18" a="1"/>
  <c r="T24" i="18" s="1"/>
  <c r="T62" i="18" a="1"/>
  <c r="T62" i="18" s="1"/>
  <c r="T52" i="18" a="1"/>
  <c r="T52" i="18" s="1"/>
  <c r="T42" i="18" a="1"/>
  <c r="T42" i="18" s="1"/>
  <c r="T32" i="18" a="1"/>
  <c r="T32" i="18" s="1"/>
  <c r="T2" i="18" a="1"/>
  <c r="T2" i="18" s="1"/>
  <c r="S57" i="18" a="1"/>
  <c r="S57" i="18" s="1"/>
  <c r="S37" i="18" a="1"/>
  <c r="S37" i="18" s="1"/>
  <c r="V44" i="17" a="1"/>
  <c r="V44" i="17" s="1"/>
  <c r="T79" i="17" a="1"/>
  <c r="T79" i="17" s="1"/>
  <c r="U41" i="17" a="1"/>
  <c r="U41" i="17" s="1"/>
  <c r="O50" i="17" a="1"/>
  <c r="O50" i="17" s="1"/>
  <c r="U75" i="17" a="1"/>
  <c r="U75" i="17" s="1"/>
  <c r="T35" i="17" a="1"/>
  <c r="T35" i="17" s="1"/>
  <c r="V23" i="17" a="1"/>
  <c r="V23" i="17" s="1"/>
  <c r="U68" i="17" a="1"/>
  <c r="U68" i="17" s="1"/>
  <c r="V12" i="17" a="1"/>
  <c r="V12" i="17" s="1"/>
  <c r="X85" i="17" a="1"/>
  <c r="X85" i="17" s="1"/>
  <c r="Y85" i="17" s="1"/>
  <c r="U52" i="17" a="1"/>
  <c r="U52" i="17" s="1"/>
  <c r="X102" i="17" a="1"/>
  <c r="X102" i="17" s="1"/>
  <c r="Y102" i="17" s="1"/>
  <c r="O99" i="17" a="1"/>
  <c r="O99" i="17" s="1"/>
  <c r="X34" i="17" a="1"/>
  <c r="X34" i="17" s="1"/>
  <c r="Y34" i="17" s="1"/>
  <c r="X16" i="17" a="1"/>
  <c r="X16" i="17" s="1"/>
  <c r="Y16" i="17" s="1"/>
  <c r="V69" i="17" a="1"/>
  <c r="V69" i="17" s="1"/>
  <c r="V86" i="17" a="1"/>
  <c r="V86" i="17" s="1"/>
  <c r="V13" i="17" a="1"/>
  <c r="V13" i="17" s="1"/>
  <c r="X33" i="17" a="1"/>
  <c r="X33" i="17" s="1"/>
  <c r="Y33" i="17" s="1"/>
  <c r="X14" i="17" a="1"/>
  <c r="X14" i="17" s="1"/>
  <c r="Y14" i="17" s="1"/>
  <c r="V39" i="17" a="1"/>
  <c r="V39" i="17" s="1"/>
  <c r="T66" i="17" a="1"/>
  <c r="T66" i="17" s="1"/>
  <c r="S19" i="17" a="1"/>
  <c r="S19" i="17" s="1"/>
  <c r="O33" i="17" a="1"/>
  <c r="O33" i="17" s="1"/>
  <c r="V62" i="17" a="1"/>
  <c r="V62" i="17" s="1"/>
  <c r="U67" i="17" a="1"/>
  <c r="U67" i="17" s="1"/>
  <c r="T65" i="17" a="1"/>
  <c r="T65" i="17" s="1"/>
  <c r="S106" i="17" a="1"/>
  <c r="S106" i="17" s="1"/>
  <c r="X67" i="17" a="1"/>
  <c r="X67" i="17" s="1"/>
  <c r="Y67" i="17" s="1"/>
  <c r="R105" i="17" a="1"/>
  <c r="R105" i="17" s="1"/>
  <c r="T105" i="17" a="1"/>
  <c r="T105" i="17" s="1"/>
  <c r="N105" i="17" a="1"/>
  <c r="N105" i="17" s="1"/>
  <c r="O105" i="17" a="1"/>
  <c r="O105" i="17" s="1"/>
  <c r="U105" i="17" a="1"/>
  <c r="U105" i="17" s="1"/>
  <c r="S105" i="17" a="1"/>
  <c r="S105" i="17" s="1"/>
  <c r="X105" i="17" a="1"/>
  <c r="X105" i="17" s="1"/>
  <c r="Y105" i="17" s="1"/>
  <c r="V101" i="17" a="1"/>
  <c r="V101" i="17" s="1"/>
  <c r="U66" i="17" a="1"/>
  <c r="U66" i="17" s="1"/>
  <c r="U26" i="17" a="1"/>
  <c r="U26" i="17" s="1"/>
  <c r="S9" i="17" a="1"/>
  <c r="S9" i="17" s="1"/>
  <c r="O4" i="17" a="1"/>
  <c r="O4" i="17" s="1"/>
  <c r="R68" i="17" a="1"/>
  <c r="R68" i="17" s="1"/>
  <c r="T68" i="17" a="1"/>
  <c r="T68" i="17" s="1"/>
  <c r="N68" i="17" a="1"/>
  <c r="N68" i="17" s="1"/>
  <c r="S68" i="17" a="1"/>
  <c r="S68" i="17" s="1"/>
  <c r="V68" i="17" a="1"/>
  <c r="V68" i="17" s="1"/>
  <c r="V33" i="17" a="1"/>
  <c r="V33" i="17" s="1"/>
  <c r="V3" i="17" a="1"/>
  <c r="V3" i="17" s="1"/>
  <c r="U62" i="17" a="1"/>
  <c r="U62" i="17" s="1"/>
  <c r="T57" i="17" a="1"/>
  <c r="T57" i="17" s="1"/>
  <c r="N77" i="17" a="1"/>
  <c r="N77" i="17" s="1"/>
  <c r="X49" i="17" a="1"/>
  <c r="X49" i="17" s="1"/>
  <c r="Y49" i="17" s="1"/>
  <c r="U21" i="17" a="1"/>
  <c r="U21" i="17" s="1"/>
  <c r="T49" i="17" a="1"/>
  <c r="T49" i="17" s="1"/>
  <c r="S74" i="17" a="1"/>
  <c r="S74" i="17" s="1"/>
  <c r="N29" i="17" a="1"/>
  <c r="N29" i="17" s="1"/>
  <c r="T2" i="17" a="1"/>
  <c r="T2" i="17" s="1"/>
  <c r="X59" i="17" a="1"/>
  <c r="X59" i="17" s="1"/>
  <c r="Y59" i="17" s="1"/>
  <c r="X7" i="17" a="1"/>
  <c r="X7" i="17" s="1"/>
  <c r="Y7" i="17" s="1"/>
  <c r="V32" i="17" a="1"/>
  <c r="V32" i="17" s="1"/>
  <c r="U89" i="17" a="1"/>
  <c r="U89" i="17" s="1"/>
  <c r="U101" i="17" a="1"/>
  <c r="U101" i="17" s="1"/>
  <c r="U18" i="17" a="1"/>
  <c r="U18" i="17" s="1"/>
  <c r="N45" i="17" a="1"/>
  <c r="N45" i="17" s="1"/>
  <c r="R51" i="17" a="1"/>
  <c r="R51" i="17" s="1"/>
  <c r="T51" i="17" a="1"/>
  <c r="T51" i="17" s="1"/>
  <c r="N51" i="17" a="1"/>
  <c r="N51" i="17" s="1"/>
  <c r="O51" i="17" a="1"/>
  <c r="O51" i="17" s="1"/>
  <c r="S51" i="17" a="1"/>
  <c r="S51" i="17" s="1"/>
  <c r="X51" i="17" a="1"/>
  <c r="X51" i="17" s="1"/>
  <c r="Y51" i="17" s="1"/>
  <c r="V84" i="17" a="1"/>
  <c r="V84" i="17" s="1"/>
  <c r="V80" i="17" a="1"/>
  <c r="V80" i="17" s="1"/>
  <c r="V58" i="17" a="1"/>
  <c r="V58" i="17" s="1"/>
  <c r="V26" i="17" a="1"/>
  <c r="V26" i="17" s="1"/>
  <c r="U88" i="17" a="1"/>
  <c r="U88" i="17" s="1"/>
  <c r="T48" i="17" a="1"/>
  <c r="T48" i="17" s="1"/>
  <c r="O79" i="17" a="1"/>
  <c r="O79" i="17" s="1"/>
  <c r="N79" i="17" a="1"/>
  <c r="N79" i="17" s="1"/>
  <c r="X79" i="17" a="1"/>
  <c r="X79" i="17" s="1"/>
  <c r="Y79" i="17" s="1"/>
  <c r="Q79" i="17" s="1"/>
  <c r="W79" i="17" s="1"/>
  <c r="R79" i="17" a="1"/>
  <c r="R79" i="17" s="1"/>
  <c r="S79" i="17" a="1"/>
  <c r="S79" i="17" s="1"/>
  <c r="V79" i="17" a="1"/>
  <c r="V79" i="17" s="1"/>
  <c r="U79" i="17" a="1"/>
  <c r="U79" i="17" s="1"/>
  <c r="O101" i="17" a="1"/>
  <c r="O101" i="17" s="1"/>
  <c r="R101" i="17" a="1"/>
  <c r="R101" i="17" s="1"/>
  <c r="N101" i="17" a="1"/>
  <c r="N101" i="17" s="1"/>
  <c r="X101" i="17" a="1"/>
  <c r="X101" i="17" s="1"/>
  <c r="Y101" i="17" s="1"/>
  <c r="Q101" i="17" s="1"/>
  <c r="W101" i="17" s="1"/>
  <c r="T101" i="17" a="1"/>
  <c r="T101" i="17" s="1"/>
  <c r="S101" i="17" a="1"/>
  <c r="S101" i="17" s="1"/>
  <c r="O44" i="17" a="1"/>
  <c r="O44" i="17" s="1"/>
  <c r="R44" i="17" a="1"/>
  <c r="R44" i="17" s="1"/>
  <c r="N44" i="17" a="1"/>
  <c r="N44" i="17" s="1"/>
  <c r="X44" i="17" a="1"/>
  <c r="X44" i="17" s="1"/>
  <c r="Y44" i="17" s="1"/>
  <c r="S44" i="17" a="1"/>
  <c r="S44" i="17" s="1"/>
  <c r="T44" i="17" a="1"/>
  <c r="T44" i="17" s="1"/>
  <c r="U44" i="17" a="1"/>
  <c r="U44" i="17" s="1"/>
  <c r="O27" i="17" a="1"/>
  <c r="O27" i="17" s="1"/>
  <c r="R27" i="17" a="1"/>
  <c r="R27" i="17" s="1"/>
  <c r="N27" i="17" a="1"/>
  <c r="N27" i="17" s="1"/>
  <c r="U27" i="17" a="1"/>
  <c r="U27" i="17" s="1"/>
  <c r="X27" i="17" a="1"/>
  <c r="X27" i="17" s="1"/>
  <c r="Y27" i="17" s="1"/>
  <c r="V27" i="17" a="1"/>
  <c r="V27" i="17" s="1"/>
  <c r="S27" i="17" a="1"/>
  <c r="S27" i="17" s="1"/>
  <c r="O10" i="17" a="1"/>
  <c r="O10" i="17" s="1"/>
  <c r="X10" i="17" a="1"/>
  <c r="X10" i="17" s="1"/>
  <c r="Y10" i="17" s="1"/>
  <c r="Q10" i="17" s="1"/>
  <c r="W10" i="17" s="1"/>
  <c r="R10" i="17" a="1"/>
  <c r="R10" i="17" s="1"/>
  <c r="N10" i="17" a="1"/>
  <c r="N10" i="17" s="1"/>
  <c r="S10" i="17" a="1"/>
  <c r="S10" i="17" s="1"/>
  <c r="V10" i="17" a="1"/>
  <c r="V10" i="17" s="1"/>
  <c r="T10" i="17" a="1"/>
  <c r="T10" i="17" s="1"/>
  <c r="U10" i="17" a="1"/>
  <c r="U10" i="17" s="1"/>
  <c r="S98" i="17" a="1"/>
  <c r="S98" i="17" s="1"/>
  <c r="V90" i="17" a="1"/>
  <c r="V90" i="17" s="1"/>
  <c r="R74" i="17" a="1"/>
  <c r="R74" i="17" s="1"/>
  <c r="U12" i="17" a="1"/>
  <c r="U12" i="17" s="1"/>
  <c r="X32" i="17" a="1"/>
  <c r="X32" i="17" s="1"/>
  <c r="Y32" i="17" s="1"/>
  <c r="O25" i="17" a="1"/>
  <c r="O25" i="17" s="1"/>
  <c r="T56" i="17" a="1"/>
  <c r="T56" i="17" s="1"/>
  <c r="X83" i="17" a="1"/>
  <c r="X83" i="17" s="1"/>
  <c r="Y83" i="17" s="1"/>
  <c r="N72" i="17" a="1"/>
  <c r="N72" i="17" s="1"/>
  <c r="T39" i="17" a="1"/>
  <c r="T39" i="17" s="1"/>
  <c r="X13" i="17" a="1"/>
  <c r="X13" i="17" s="1"/>
  <c r="Y13" i="17" s="1"/>
  <c r="O66" i="17" a="1"/>
  <c r="O66" i="17" s="1"/>
  <c r="V98" i="17" a="1"/>
  <c r="V98" i="17" s="1"/>
  <c r="U39" i="17" a="1"/>
  <c r="U39" i="17" s="1"/>
  <c r="V45" i="17" a="1"/>
  <c r="V45" i="17" s="1"/>
  <c r="U15" i="17" a="1"/>
  <c r="U15" i="17" s="1"/>
  <c r="U30" i="17" a="1"/>
  <c r="U30" i="17" s="1"/>
  <c r="U31" i="17" a="1"/>
  <c r="U31" i="17" s="1"/>
  <c r="U42" i="17" a="1"/>
  <c r="U42" i="17" s="1"/>
  <c r="U53" i="17" a="1"/>
  <c r="U53" i="17" s="1"/>
  <c r="V61" i="17" a="1"/>
  <c r="V61" i="17" s="1"/>
  <c r="V72" i="17" a="1"/>
  <c r="V72" i="17" s="1"/>
  <c r="X6" i="17" a="1"/>
  <c r="X6" i="17" s="1"/>
  <c r="Y6" i="17" s="1"/>
  <c r="X26" i="17" a="1"/>
  <c r="X26" i="17" s="1"/>
  <c r="Y26" i="17" s="1"/>
  <c r="V15" i="17" a="1"/>
  <c r="V15" i="17" s="1"/>
  <c r="V40" i="17" a="1"/>
  <c r="V40" i="17" s="1"/>
  <c r="O18" i="17" a="1"/>
  <c r="O18" i="17" s="1"/>
  <c r="S18" i="17" a="1"/>
  <c r="S18" i="17" s="1"/>
  <c r="V18" i="17" a="1"/>
  <c r="V18" i="17" s="1"/>
  <c r="R18" i="17" a="1"/>
  <c r="R18" i="17" s="1"/>
  <c r="N18" i="17" a="1"/>
  <c r="N18" i="17" s="1"/>
  <c r="R34" i="17" a="1"/>
  <c r="R34" i="17" s="1"/>
  <c r="T34" i="17" a="1"/>
  <c r="T34" i="17" s="1"/>
  <c r="S34" i="17" a="1"/>
  <c r="S34" i="17" s="1"/>
  <c r="U34" i="17" a="1"/>
  <c r="U34" i="17" s="1"/>
  <c r="O34" i="17" a="1"/>
  <c r="O34" i="17" s="1"/>
  <c r="Q34" i="17" s="1"/>
  <c r="W34" i="17" s="1"/>
  <c r="V34" i="17" a="1"/>
  <c r="V34" i="17" s="1"/>
  <c r="N34" i="17" a="1"/>
  <c r="N34" i="17" s="1"/>
  <c r="X92" i="17" a="1"/>
  <c r="X92" i="17" s="1"/>
  <c r="Y92" i="17" s="1"/>
  <c r="X25" i="17" a="1"/>
  <c r="X25" i="17" s="1"/>
  <c r="Y25" i="17" s="1"/>
  <c r="Q25" i="17" s="1"/>
  <c r="W25" i="17" s="1"/>
  <c r="U87" i="17" a="1"/>
  <c r="U87" i="17" s="1"/>
  <c r="U57" i="17" a="1"/>
  <c r="U57" i="17" s="1"/>
  <c r="U14" i="17" a="1"/>
  <c r="U14" i="17" s="1"/>
  <c r="R81" i="17" a="1"/>
  <c r="R81" i="17" s="1"/>
  <c r="N86" i="17" a="1"/>
  <c r="N86" i="17" s="1"/>
  <c r="O86" i="17" a="1"/>
  <c r="O86" i="17" s="1"/>
  <c r="T86" i="17" a="1"/>
  <c r="T86" i="17" s="1"/>
  <c r="S86" i="17" a="1"/>
  <c r="S86" i="17" s="1"/>
  <c r="R86" i="17" a="1"/>
  <c r="R86" i="17" s="1"/>
  <c r="X64" i="17" a="1"/>
  <c r="X64" i="17" s="1"/>
  <c r="Y64" i="17" s="1"/>
  <c r="X43" i="17" a="1"/>
  <c r="X43" i="17" s="1"/>
  <c r="Y43" i="17" s="1"/>
  <c r="V95" i="17" a="1"/>
  <c r="V95" i="17" s="1"/>
  <c r="S65" i="17" a="1"/>
  <c r="S65" i="17" s="1"/>
  <c r="N12" i="17" a="1"/>
  <c r="N12" i="17" s="1"/>
  <c r="U32" i="17" a="1"/>
  <c r="U32" i="17" s="1"/>
  <c r="X76" i="17" a="1"/>
  <c r="X76" i="17" s="1"/>
  <c r="Y76" i="17" s="1"/>
  <c r="X4" i="17" a="1"/>
  <c r="X4" i="17" s="1"/>
  <c r="Y4" i="17" s="1"/>
  <c r="U25" i="17" a="1"/>
  <c r="U25" i="17" s="1"/>
  <c r="O22" i="17" a="1"/>
  <c r="O22" i="17" s="1"/>
  <c r="N69" i="17" a="1"/>
  <c r="N69" i="17" s="1"/>
  <c r="X69" i="17" a="1"/>
  <c r="X69" i="17" s="1"/>
  <c r="Y69" i="17" s="1"/>
  <c r="T69" i="17" a="1"/>
  <c r="T69" i="17" s="1"/>
  <c r="S69" i="17" a="1"/>
  <c r="S69" i="17" s="1"/>
  <c r="R69" i="17" a="1"/>
  <c r="R69" i="17" s="1"/>
  <c r="U69" i="17" a="1"/>
  <c r="U69" i="17" s="1"/>
  <c r="V92" i="17" a="1"/>
  <c r="V92" i="17" s="1"/>
  <c r="X58" i="17" a="1"/>
  <c r="X58" i="17" s="1"/>
  <c r="Y58" i="17" s="1"/>
  <c r="T36" i="17" a="1"/>
  <c r="T36" i="17" s="1"/>
  <c r="V75" i="17" a="1"/>
  <c r="V75" i="17" s="1"/>
  <c r="V51" i="17" a="1"/>
  <c r="V51" i="17" s="1"/>
  <c r="U51" i="17" a="1"/>
  <c r="U51" i="17" s="1"/>
  <c r="O84" i="17" a="1"/>
  <c r="O84" i="17" s="1"/>
  <c r="T74" i="17" a="1"/>
  <c r="T74" i="17" s="1"/>
  <c r="R17" i="17" a="1"/>
  <c r="R17" i="17" s="1"/>
  <c r="T17" i="17" a="1"/>
  <c r="T17" i="17" s="1"/>
  <c r="O17" i="17" a="1"/>
  <c r="O17" i="17" s="1"/>
  <c r="V17" i="17" a="1"/>
  <c r="V17" i="17" s="1"/>
  <c r="N17" i="17" a="1"/>
  <c r="N17" i="17" s="1"/>
  <c r="S17" i="17" a="1"/>
  <c r="S17" i="17" s="1"/>
  <c r="U17" i="17" a="1"/>
  <c r="U17" i="17" s="1"/>
  <c r="X65" i="17" a="1"/>
  <c r="X65" i="17" s="1"/>
  <c r="Y65" i="17" s="1"/>
  <c r="V105" i="17" a="1"/>
  <c r="V105" i="17" s="1"/>
  <c r="X77" i="17" a="1"/>
  <c r="X77" i="17" s="1"/>
  <c r="Y77" i="17" s="1"/>
  <c r="X75" i="17" a="1"/>
  <c r="X75" i="17" s="1"/>
  <c r="Y75" i="17" s="1"/>
  <c r="X57" i="17" a="1"/>
  <c r="X57" i="17" s="1"/>
  <c r="Y57" i="17" s="1"/>
  <c r="U6" i="17" a="1"/>
  <c r="U6" i="17" s="1"/>
  <c r="X74" i="17" a="1"/>
  <c r="X74" i="17" s="1"/>
  <c r="Y74" i="17" s="1"/>
  <c r="X3" i="17" a="1"/>
  <c r="X3" i="17" s="1"/>
  <c r="Y3" i="17" s="1"/>
  <c r="Q3" i="17" s="1"/>
  <c r="W3" i="17" s="1"/>
  <c r="V50" i="17" a="1"/>
  <c r="V50" i="17" s="1"/>
  <c r="V22" i="17" a="1"/>
  <c r="V22" i="17" s="1"/>
  <c r="U104" i="17" a="1"/>
  <c r="U104" i="17" s="1"/>
  <c r="U5" i="17" a="1"/>
  <c r="U5" i="17" s="1"/>
  <c r="S53" i="17" a="1"/>
  <c r="S53" i="17" s="1"/>
  <c r="S31" i="17" a="1"/>
  <c r="S31" i="17" s="1"/>
  <c r="R52" i="17" a="1"/>
  <c r="R52" i="17" s="1"/>
  <c r="T52" i="17" a="1"/>
  <c r="T52" i="17" s="1"/>
  <c r="N52" i="17" a="1"/>
  <c r="N52" i="17" s="1"/>
  <c r="V52" i="17" a="1"/>
  <c r="V52" i="17" s="1"/>
  <c r="X52" i="17" a="1"/>
  <c r="X52" i="17" s="1"/>
  <c r="Y52" i="17" s="1"/>
  <c r="Q52" i="17" s="1"/>
  <c r="W52" i="17" s="1"/>
  <c r="S52" i="17" a="1"/>
  <c r="S52" i="17" s="1"/>
  <c r="O52" i="17" a="1"/>
  <c r="O52" i="17" s="1"/>
  <c r="V8" i="17" a="1"/>
  <c r="V8" i="17" s="1"/>
  <c r="X47" i="17" a="1"/>
  <c r="X47" i="17" s="1"/>
  <c r="Y47" i="17" s="1"/>
  <c r="X95" i="17" a="1"/>
  <c r="X95" i="17" s="1"/>
  <c r="Y95" i="17" s="1"/>
  <c r="X5" i="17" a="1"/>
  <c r="X5" i="17" s="1"/>
  <c r="Y5" i="17" s="1"/>
  <c r="X39" i="17" a="1"/>
  <c r="X39" i="17" s="1"/>
  <c r="Y39" i="17" s="1"/>
  <c r="U86" i="17" a="1"/>
  <c r="U86" i="17" s="1"/>
  <c r="S42" i="17" a="1"/>
  <c r="S42" i="17" s="1"/>
  <c r="X38" i="17" a="1"/>
  <c r="X38" i="17" s="1"/>
  <c r="Y38" i="17" s="1"/>
  <c r="X100" i="17" a="1"/>
  <c r="X100" i="17" s="1"/>
  <c r="Y100" i="17" s="1"/>
  <c r="U50" i="17" a="1"/>
  <c r="U50" i="17" s="1"/>
  <c r="T88" i="17" a="1"/>
  <c r="T88" i="17" s="1"/>
  <c r="T27" i="17" a="1"/>
  <c r="T27" i="17" s="1"/>
  <c r="S99" i="17" a="1"/>
  <c r="S99" i="17" s="1"/>
  <c r="O82" i="17" a="1"/>
  <c r="O82" i="17" s="1"/>
  <c r="T12" i="17" a="1"/>
  <c r="T12" i="17" s="1"/>
  <c r="O35" i="17" a="1"/>
  <c r="O35" i="17" s="1"/>
  <c r="S35" i="17" a="1"/>
  <c r="S35" i="17" s="1"/>
  <c r="U35" i="17" a="1"/>
  <c r="U35" i="17" s="1"/>
  <c r="V35" i="17" a="1"/>
  <c r="V35" i="17" s="1"/>
  <c r="X35" i="17" a="1"/>
  <c r="X35" i="17" s="1"/>
  <c r="Y35" i="17" s="1"/>
  <c r="N35" i="17" a="1"/>
  <c r="N35" i="17" s="1"/>
  <c r="R4" i="17" a="1"/>
  <c r="R4" i="17" s="1"/>
  <c r="X78" i="17" a="1"/>
  <c r="X78" i="17" s="1"/>
  <c r="X98" i="17" a="1"/>
  <c r="X98" i="17" s="1"/>
  <c r="Y98" i="17" s="1"/>
  <c r="V57" i="17" a="1"/>
  <c r="V57" i="17" s="1"/>
  <c r="V24" i="17" a="1"/>
  <c r="V24" i="17" s="1"/>
  <c r="N8" i="17" a="1"/>
  <c r="N8" i="17" s="1"/>
  <c r="X23" i="17" a="1"/>
  <c r="X23" i="17" s="1"/>
  <c r="Y23" i="17" s="1"/>
  <c r="X103" i="17" a="1"/>
  <c r="X103" i="17" s="1"/>
  <c r="Y103" i="17" s="1"/>
  <c r="X18" i="17" a="1"/>
  <c r="X18" i="17" s="1"/>
  <c r="Y18" i="17" s="1"/>
  <c r="Q18" i="17" s="1"/>
  <c r="W18" i="17" s="1"/>
  <c r="V49" i="17" a="1"/>
  <c r="V49" i="17" s="1"/>
  <c r="V21" i="17" a="1"/>
  <c r="V21" i="17" s="1"/>
  <c r="U78" i="17" a="1"/>
  <c r="U78" i="17" s="1"/>
  <c r="S49" i="17" a="1"/>
  <c r="S49" i="17" s="1"/>
  <c r="O69" i="17" a="1"/>
  <c r="O69" i="17" s="1"/>
  <c r="U40" i="17" a="1"/>
  <c r="U40" i="17" s="1"/>
  <c r="X84" i="17" a="1"/>
  <c r="X84" i="17" s="1"/>
  <c r="Y84" i="17" s="1"/>
  <c r="Q84" i="17" s="1"/>
  <c r="W84" i="17" s="1"/>
  <c r="X93" i="17" a="1"/>
  <c r="X93" i="17" s="1"/>
  <c r="Y93" i="17" s="1"/>
  <c r="V59" i="17" a="1"/>
  <c r="V59" i="17" s="1"/>
  <c r="V104" i="17" a="1"/>
  <c r="V104" i="17" s="1"/>
  <c r="X24" i="17" a="1"/>
  <c r="X24" i="17" s="1"/>
  <c r="Y24" i="17" s="1"/>
  <c r="T76" i="17" a="1"/>
  <c r="T76" i="17" s="1"/>
  <c r="X56" i="17" a="1"/>
  <c r="X56" i="17" s="1"/>
  <c r="Y56" i="17" s="1"/>
  <c r="X2" i="17" a="1"/>
  <c r="X2" i="17" s="1"/>
  <c r="X86" i="17" a="1"/>
  <c r="X86" i="17" s="1"/>
  <c r="Y86" i="17" s="1"/>
  <c r="Q86" i="17" s="1"/>
  <c r="W86" i="17" s="1"/>
  <c r="X68" i="17" a="1"/>
  <c r="X68" i="17" s="1"/>
  <c r="Y68" i="17" s="1"/>
  <c r="V48" i="17" a="1"/>
  <c r="V48" i="17" s="1"/>
  <c r="U77" i="17" a="1"/>
  <c r="U77" i="17" s="1"/>
  <c r="U98" i="17" a="1"/>
  <c r="U98" i="17" s="1"/>
  <c r="T104" i="17" a="1"/>
  <c r="T104" i="17" s="1"/>
  <c r="T18" i="17" a="1"/>
  <c r="T18" i="17" s="1"/>
  <c r="O68" i="17" a="1"/>
  <c r="O68" i="17" s="1"/>
  <c r="X48" i="17" a="1"/>
  <c r="X48" i="17" s="1"/>
  <c r="Y48" i="17" s="1"/>
  <c r="V81" i="17" a="1"/>
  <c r="V81" i="17" s="1"/>
  <c r="X90" i="17" a="1"/>
  <c r="X90" i="17" s="1"/>
  <c r="Y90" i="17" s="1"/>
  <c r="R64" i="17" a="1"/>
  <c r="R64" i="17" s="1"/>
  <c r="X17" i="17" a="1"/>
  <c r="X17" i="17" s="1"/>
  <c r="Y17" i="17" s="1"/>
  <c r="Q17" i="17" s="1"/>
  <c r="W17" i="17" s="1"/>
  <c r="V70" i="17" a="1"/>
  <c r="V70" i="17" s="1"/>
  <c r="V14" i="17" a="1"/>
  <c r="V14" i="17" s="1"/>
  <c r="U76" i="17" a="1"/>
  <c r="U76" i="17" s="1"/>
  <c r="S39" i="17" a="1"/>
  <c r="S39" i="17" s="1"/>
  <c r="R35" i="17" a="1"/>
  <c r="R35" i="17" s="1"/>
  <c r="V4" i="17" a="1"/>
  <c r="V4" i="17" s="1"/>
  <c r="U80" i="17" a="1"/>
  <c r="U80" i="17" s="1"/>
  <c r="U58" i="17" a="1"/>
  <c r="U58" i="17" s="1"/>
  <c r="U33" i="17" a="1"/>
  <c r="U33" i="17" s="1"/>
  <c r="T3" i="17" a="1"/>
  <c r="T3" i="17" s="1"/>
  <c r="S40" i="17" a="1"/>
  <c r="S40" i="17" s="1"/>
  <c r="R6" i="17" a="1"/>
  <c r="R6" i="17" s="1"/>
  <c r="O90" i="17" a="1"/>
  <c r="O90" i="17" s="1"/>
  <c r="O8" i="17" a="1"/>
  <c r="O8" i="17" s="1"/>
  <c r="V85" i="17" a="1"/>
  <c r="V85" i="17" s="1"/>
  <c r="V99" i="17" a="1"/>
  <c r="V99" i="17" s="1"/>
  <c r="V25" i="17" a="1"/>
  <c r="V25" i="17" s="1"/>
  <c r="V93" i="17" a="1"/>
  <c r="V93" i="17" s="1"/>
  <c r="U102" i="17" a="1"/>
  <c r="U102" i="17" s="1"/>
  <c r="U54" i="17" a="1"/>
  <c r="U54" i="17" s="1"/>
  <c r="U43" i="17" a="1"/>
  <c r="U43" i="17" s="1"/>
  <c r="U96" i="17" a="1"/>
  <c r="U96" i="17" s="1"/>
  <c r="O81" i="17" a="1"/>
  <c r="O81" i="17" s="1"/>
  <c r="O3" i="17" a="1"/>
  <c r="O3" i="17" s="1"/>
  <c r="V36" i="17" a="1"/>
  <c r="V36" i="17" s="1"/>
  <c r="U90" i="17" a="1"/>
  <c r="U90" i="17" s="1"/>
  <c r="U3" i="17" a="1"/>
  <c r="U3" i="17" s="1"/>
  <c r="T78" i="17" a="1"/>
  <c r="T78" i="17" s="1"/>
  <c r="T47" i="17" a="1"/>
  <c r="T47" i="17" s="1"/>
  <c r="T14" i="17" a="1"/>
  <c r="T14" i="17" s="1"/>
  <c r="S33" i="17" a="1"/>
  <c r="S33" i="17" s="1"/>
  <c r="R96" i="17" a="1"/>
  <c r="R96" i="17" s="1"/>
  <c r="O47" i="17" a="1"/>
  <c r="O47" i="17" s="1"/>
  <c r="N83" i="17" a="1"/>
  <c r="N83" i="17" s="1"/>
  <c r="U83" i="17" a="1"/>
  <c r="U83" i="17" s="1"/>
  <c r="O83" i="17" a="1"/>
  <c r="O83" i="17" s="1"/>
  <c r="N66" i="17" a="1"/>
  <c r="N66" i="17" s="1"/>
  <c r="R66" i="17" a="1"/>
  <c r="R66" i="17" s="1"/>
  <c r="N49" i="17" a="1"/>
  <c r="N49" i="17" s="1"/>
  <c r="O49" i="17" a="1"/>
  <c r="O49" i="17" s="1"/>
  <c r="R49" i="17" a="1"/>
  <c r="R49" i="17" s="1"/>
  <c r="N96" i="17" a="1"/>
  <c r="N96" i="17" s="1"/>
  <c r="T96" i="17" a="1"/>
  <c r="T96" i="17" s="1"/>
  <c r="N14" i="17" a="1"/>
  <c r="N14" i="17" s="1"/>
  <c r="O14" i="17" a="1"/>
  <c r="O14" i="17" s="1"/>
  <c r="R14" i="17" a="1"/>
  <c r="R14" i="17" s="1"/>
  <c r="U16" i="17" a="1"/>
  <c r="U16" i="17" s="1"/>
  <c r="U2" i="17" a="1"/>
  <c r="U2" i="17" s="1"/>
  <c r="T63" i="17" a="1"/>
  <c r="T63" i="17" s="1"/>
  <c r="T29" i="17" a="1"/>
  <c r="T29" i="17" s="1"/>
  <c r="S70" i="17" a="1"/>
  <c r="S70" i="17" s="1"/>
  <c r="S16" i="17" a="1"/>
  <c r="S16" i="17" s="1"/>
  <c r="O104" i="17" a="1"/>
  <c r="O104" i="17" s="1"/>
  <c r="X66" i="17" a="1"/>
  <c r="X66" i="17" s="1"/>
  <c r="Y66" i="17" s="1"/>
  <c r="Q66" i="17" s="1"/>
  <c r="W66" i="17" s="1"/>
  <c r="X15" i="17" a="1"/>
  <c r="X15" i="17" s="1"/>
  <c r="Y15" i="17" s="1"/>
  <c r="V83" i="17" a="1"/>
  <c r="V83" i="17" s="1"/>
  <c r="V71" i="17" a="1"/>
  <c r="V71" i="17" s="1"/>
  <c r="V60" i="17" a="1"/>
  <c r="V60" i="17" s="1"/>
  <c r="T46" i="17" a="1"/>
  <c r="T46" i="17" s="1"/>
  <c r="T93" i="17" a="1"/>
  <c r="T93" i="17" s="1"/>
  <c r="R83" i="17" a="1"/>
  <c r="R83" i="17" s="1"/>
  <c r="O78" i="17" a="1"/>
  <c r="O78" i="17" s="1"/>
  <c r="O40" i="17" a="1"/>
  <c r="O40" i="17" s="1"/>
  <c r="N84" i="17" a="1"/>
  <c r="N84" i="17" s="1"/>
  <c r="T89" i="17" a="1"/>
  <c r="T89" i="17" s="1"/>
  <c r="T28" i="17" a="1"/>
  <c r="T28" i="17" s="1"/>
  <c r="S50" i="17" a="1"/>
  <c r="S50" i="17" s="1"/>
  <c r="S96" i="17" a="1"/>
  <c r="S96" i="17" s="1"/>
  <c r="S14" i="17" a="1"/>
  <c r="S14" i="17" s="1"/>
  <c r="R57" i="17" a="1"/>
  <c r="R57" i="17" s="1"/>
  <c r="O77" i="17" a="1"/>
  <c r="O77" i="17" s="1"/>
  <c r="O97" i="17" a="1"/>
  <c r="O97" i="17" s="1"/>
  <c r="N81" i="17" a="1"/>
  <c r="N81" i="17" s="1"/>
  <c r="S80" i="17" a="1"/>
  <c r="S80" i="17" s="1"/>
  <c r="T80" i="17" a="1"/>
  <c r="T80" i="17" s="1"/>
  <c r="R80" i="17" a="1"/>
  <c r="R80" i="17" s="1"/>
  <c r="X80" i="17" a="1"/>
  <c r="X80" i="17" s="1"/>
  <c r="Y80" i="17" s="1"/>
  <c r="O80" i="17" a="1"/>
  <c r="O80" i="17" s="1"/>
  <c r="N80" i="17" a="1"/>
  <c r="N80" i="17" s="1"/>
  <c r="S63" i="17" a="1"/>
  <c r="S63" i="17" s="1"/>
  <c r="R63" i="17" a="1"/>
  <c r="R63" i="17" s="1"/>
  <c r="U63" i="17" a="1"/>
  <c r="U63" i="17" s="1"/>
  <c r="X63" i="17" a="1"/>
  <c r="X63" i="17" s="1"/>
  <c r="Y63" i="17" s="1"/>
  <c r="S46" i="17" a="1"/>
  <c r="S46" i="17" s="1"/>
  <c r="R46" i="17" a="1"/>
  <c r="R46" i="17" s="1"/>
  <c r="V46" i="17" a="1"/>
  <c r="V46" i="17" s="1"/>
  <c r="U46" i="17" a="1"/>
  <c r="U46" i="17" s="1"/>
  <c r="X46" i="17" a="1"/>
  <c r="X46" i="17" s="1"/>
  <c r="Y46" i="17" s="1"/>
  <c r="O46" i="17" a="1"/>
  <c r="O46" i="17" s="1"/>
  <c r="N46" i="17" a="1"/>
  <c r="N46" i="17" s="1"/>
  <c r="S29" i="17" a="1"/>
  <c r="S29" i="17" s="1"/>
  <c r="R29" i="17" a="1"/>
  <c r="R29" i="17" s="1"/>
  <c r="O29" i="17" a="1"/>
  <c r="O29" i="17" s="1"/>
  <c r="V29" i="17" a="1"/>
  <c r="V29" i="17" s="1"/>
  <c r="U29" i="17" a="1"/>
  <c r="U29" i="17" s="1"/>
  <c r="X29" i="17" a="1"/>
  <c r="X29" i="17" s="1"/>
  <c r="Y29" i="17" s="1"/>
  <c r="Q29" i="17" s="1"/>
  <c r="W29" i="17" s="1"/>
  <c r="S12" i="17" a="1"/>
  <c r="S12" i="17" s="1"/>
  <c r="R12" i="17" a="1"/>
  <c r="R12" i="17" s="1"/>
  <c r="O12" i="17" a="1"/>
  <c r="O12" i="17" s="1"/>
  <c r="X12" i="17" a="1"/>
  <c r="X12" i="17" s="1"/>
  <c r="Y12" i="17" s="1"/>
  <c r="Q12" i="17" s="1"/>
  <c r="W12" i="17" s="1"/>
  <c r="V9" i="17" a="1"/>
  <c r="V9" i="17" s="1"/>
  <c r="T75" i="17" a="1"/>
  <c r="T75" i="17" s="1"/>
  <c r="T58" i="17" a="1"/>
  <c r="T58" i="17" s="1"/>
  <c r="T45" i="17" a="1"/>
  <c r="T45" i="17" s="1"/>
  <c r="T13" i="17" a="1"/>
  <c r="T13" i="17" s="1"/>
  <c r="S85" i="17" a="1"/>
  <c r="S85" i="17" s="1"/>
  <c r="S66" i="17" a="1"/>
  <c r="S66" i="17" s="1"/>
  <c r="R56" i="17" a="1"/>
  <c r="R56" i="17" s="1"/>
  <c r="O75" i="17" a="1"/>
  <c r="O75" i="17" s="1"/>
  <c r="N104" i="17" a="1"/>
  <c r="N104" i="17" s="1"/>
  <c r="U95" i="17" a="1"/>
  <c r="U95" i="17" s="1"/>
  <c r="U93" i="17" a="1"/>
  <c r="U93" i="17" s="1"/>
  <c r="T87" i="17" a="1"/>
  <c r="T87" i="17" s="1"/>
  <c r="T103" i="17" a="1"/>
  <c r="T103" i="17" s="1"/>
  <c r="T98" i="17" a="1"/>
  <c r="T98" i="17" s="1"/>
  <c r="T26" i="17" a="1"/>
  <c r="T26" i="17" s="1"/>
  <c r="S83" i="17" a="1"/>
  <c r="S83" i="17" s="1"/>
  <c r="S8" i="17" a="1"/>
  <c r="S8" i="17" s="1"/>
  <c r="O67" i="17" a="1"/>
  <c r="O67" i="17" s="1"/>
  <c r="O96" i="17" a="1"/>
  <c r="O96" i="17" s="1"/>
  <c r="N75" i="17" a="1"/>
  <c r="N75" i="17" s="1"/>
  <c r="R76" i="17" a="1"/>
  <c r="R76" i="17" s="1"/>
  <c r="N76" i="17" a="1"/>
  <c r="N76" i="17" s="1"/>
  <c r="O76" i="17" a="1"/>
  <c r="O76" i="17" s="1"/>
  <c r="V96" i="17" a="1"/>
  <c r="V96" i="17" s="1"/>
  <c r="U61" i="17" a="1"/>
  <c r="U61" i="17" s="1"/>
  <c r="S82" i="17" a="1"/>
  <c r="S82" i="17" s="1"/>
  <c r="S92" i="17" a="1"/>
  <c r="S92" i="17" s="1"/>
  <c r="R48" i="17" a="1"/>
  <c r="R48" i="17" s="1"/>
  <c r="O65" i="17" a="1"/>
  <c r="O65" i="17" s="1"/>
  <c r="O24" i="17" a="1"/>
  <c r="O24" i="17" s="1"/>
  <c r="X82" i="17" a="1"/>
  <c r="X82" i="17" s="1"/>
  <c r="Y82" i="17" s="1"/>
  <c r="Q82" i="17" s="1"/>
  <c r="W82" i="17" s="1"/>
  <c r="X96" i="17" a="1"/>
  <c r="X96" i="17" s="1"/>
  <c r="Y96" i="17" s="1"/>
  <c r="V89" i="17" a="1"/>
  <c r="V89" i="17" s="1"/>
  <c r="V54" i="17" a="1"/>
  <c r="V54" i="17" s="1"/>
  <c r="V43" i="17" a="1"/>
  <c r="V43" i="17" s="1"/>
  <c r="U8" i="17" a="1"/>
  <c r="U8" i="17" s="1"/>
  <c r="T100" i="17" a="1"/>
  <c r="T100" i="17" s="1"/>
  <c r="T38" i="17" a="1"/>
  <c r="T38" i="17" s="1"/>
  <c r="S43" i="17" a="1"/>
  <c r="S43" i="17" s="1"/>
  <c r="R47" i="17" a="1"/>
  <c r="R47" i="17" s="1"/>
  <c r="O64" i="17" a="1"/>
  <c r="O64" i="17" s="1"/>
  <c r="N63" i="17" a="1"/>
  <c r="N63" i="17" s="1"/>
  <c r="Y78" i="17"/>
  <c r="Q78" i="17" s="1"/>
  <c r="W78" i="17" s="1"/>
  <c r="R59" i="17" a="1"/>
  <c r="R59" i="17" s="1"/>
  <c r="T59" i="17" a="1"/>
  <c r="T59" i="17" s="1"/>
  <c r="N59" i="17" a="1"/>
  <c r="N59" i="17" s="1"/>
  <c r="O59" i="17" a="1"/>
  <c r="O59" i="17" s="1"/>
  <c r="R25" i="17" a="1"/>
  <c r="R25" i="17" s="1"/>
  <c r="T25" i="17" a="1"/>
  <c r="T25" i="17" s="1"/>
  <c r="N25" i="17" a="1"/>
  <c r="N25" i="17" s="1"/>
  <c r="S25" i="17" a="1"/>
  <c r="S25" i="17" s="1"/>
  <c r="S62" i="17" a="1"/>
  <c r="S62" i="17" s="1"/>
  <c r="S71" i="17" a="1"/>
  <c r="S71" i="17" s="1"/>
  <c r="S104" i="17" a="1"/>
  <c r="S104" i="17" s="1"/>
  <c r="S88" i="17" a="1"/>
  <c r="S88" i="17" s="1"/>
  <c r="T7" i="17" a="1"/>
  <c r="T7" i="17" s="1"/>
  <c r="T15" i="17" a="1"/>
  <c r="T15" i="17" s="1"/>
  <c r="T24" i="17" a="1"/>
  <c r="T24" i="17" s="1"/>
  <c r="T32" i="17" a="1"/>
  <c r="T32" i="17" s="1"/>
  <c r="N56" i="17" a="1"/>
  <c r="N56" i="17" s="1"/>
  <c r="N65" i="17" a="1"/>
  <c r="N65" i="17" s="1"/>
  <c r="N103" i="17" a="1"/>
  <c r="N103" i="17" s="1"/>
  <c r="N82" i="17" a="1"/>
  <c r="N82" i="17" s="1"/>
  <c r="N91" i="17" a="1"/>
  <c r="N91" i="17" s="1"/>
  <c r="O9" i="17" a="1"/>
  <c r="O9" i="17" s="1"/>
  <c r="O26" i="17" a="1"/>
  <c r="O26" i="17" s="1"/>
  <c r="O98" i="17" a="1"/>
  <c r="O98" i="17" s="1"/>
  <c r="R92" i="17" a="1"/>
  <c r="R92" i="17" s="1"/>
  <c r="S55" i="17" a="1"/>
  <c r="S55" i="17" s="1"/>
  <c r="S72" i="17" a="1"/>
  <c r="S72" i="17" s="1"/>
  <c r="S89" i="17" a="1"/>
  <c r="S89" i="17" s="1"/>
  <c r="T92" i="17" a="1"/>
  <c r="T92" i="17" s="1"/>
  <c r="T16" i="17" a="1"/>
  <c r="T16" i="17" s="1"/>
  <c r="T33" i="17" a="1"/>
  <c r="T33" i="17" s="1"/>
  <c r="T50" i="17" a="1"/>
  <c r="T50" i="17" s="1"/>
  <c r="T102" i="17" a="1"/>
  <c r="T102" i="17" s="1"/>
  <c r="N74" i="17" a="1"/>
  <c r="N74" i="17" s="1"/>
  <c r="N106" i="17" a="1"/>
  <c r="N106" i="17" s="1"/>
  <c r="O19" i="17" a="1"/>
  <c r="O19" i="17" s="1"/>
  <c r="O36" i="17" a="1"/>
  <c r="O36" i="17" s="1"/>
  <c r="O53" i="17" a="1"/>
  <c r="O53" i="17" s="1"/>
  <c r="O70" i="17" a="1"/>
  <c r="O70" i="17" s="1"/>
  <c r="O87" i="17" a="1"/>
  <c r="O87" i="17" s="1"/>
  <c r="T8" i="17" a="1"/>
  <c r="T8" i="17" s="1"/>
  <c r="T95" i="17" a="1"/>
  <c r="T95" i="17" s="1"/>
  <c r="T43" i="17" a="1"/>
  <c r="T43" i="17" s="1"/>
  <c r="T60" i="17" a="1"/>
  <c r="T60" i="17" s="1"/>
  <c r="T77" i="17" a="1"/>
  <c r="T77" i="17" s="1"/>
  <c r="U4" i="17" a="1"/>
  <c r="U4" i="17" s="1"/>
  <c r="U13" i="17" a="1"/>
  <c r="U13" i="17" s="1"/>
  <c r="N7" i="17" a="1"/>
  <c r="N7" i="17" s="1"/>
  <c r="N15" i="17" a="1"/>
  <c r="N15" i="17" s="1"/>
  <c r="N24" i="17" a="1"/>
  <c r="N24" i="17" s="1"/>
  <c r="N32" i="17" a="1"/>
  <c r="N32" i="17" s="1"/>
  <c r="N41" i="17" a="1"/>
  <c r="N41" i="17" s="1"/>
  <c r="N92" i="17" a="1"/>
  <c r="N92" i="17" s="1"/>
  <c r="N16" i="17" a="1"/>
  <c r="N16" i="17" s="1"/>
  <c r="N33" i="17" a="1"/>
  <c r="N33" i="17" s="1"/>
  <c r="N50" i="17" a="1"/>
  <c r="N50" i="17" s="1"/>
  <c r="N102" i="17" a="1"/>
  <c r="N102" i="17" s="1"/>
  <c r="R19" i="17" a="1"/>
  <c r="R19" i="17" s="1"/>
  <c r="R36" i="17" a="1"/>
  <c r="R36" i="17" s="1"/>
  <c r="R53" i="17" a="1"/>
  <c r="R53" i="17" s="1"/>
  <c r="R70" i="17" a="1"/>
  <c r="R70" i="17" s="1"/>
  <c r="R54" i="17" a="1"/>
  <c r="R54" i="17" s="1"/>
  <c r="R62" i="17" a="1"/>
  <c r="R62" i="17" s="1"/>
  <c r="R71" i="17" a="1"/>
  <c r="R71" i="17" s="1"/>
  <c r="R104" i="17" a="1"/>
  <c r="R104" i="17" s="1"/>
  <c r="R88" i="17" a="1"/>
  <c r="R88" i="17" s="1"/>
  <c r="S7" i="17" a="1"/>
  <c r="S7" i="17" s="1"/>
  <c r="S15" i="17" a="1"/>
  <c r="S15" i="17" s="1"/>
  <c r="S24" i="17" a="1"/>
  <c r="S24" i="17" s="1"/>
  <c r="S32" i="17" a="1"/>
  <c r="S32" i="17" s="1"/>
  <c r="R3" i="17" a="1"/>
  <c r="R3" i="17" s="1"/>
  <c r="R20" i="17" a="1"/>
  <c r="R20" i="17" s="1"/>
  <c r="R97" i="17" a="1"/>
  <c r="R97" i="17" s="1"/>
  <c r="R55" i="17" a="1"/>
  <c r="R55" i="17" s="1"/>
  <c r="R72" i="17" a="1"/>
  <c r="R72" i="17" s="1"/>
  <c r="N19" i="17" a="1"/>
  <c r="N19" i="17" s="1"/>
  <c r="N36" i="17" a="1"/>
  <c r="N36" i="17" s="1"/>
  <c r="N53" i="17" a="1"/>
  <c r="N53" i="17" s="1"/>
  <c r="N70" i="17" a="1"/>
  <c r="N70" i="17" s="1"/>
  <c r="N87" i="17" a="1"/>
  <c r="N87" i="17" s="1"/>
  <c r="N2" i="17" a="1"/>
  <c r="N2" i="17" s="1"/>
  <c r="N11" i="17" a="1"/>
  <c r="N11" i="17" s="1"/>
  <c r="N94" i="17" a="1"/>
  <c r="N94" i="17" s="1"/>
  <c r="N28" i="17" a="1"/>
  <c r="N28" i="17" s="1"/>
  <c r="N37" i="17" a="1"/>
  <c r="N37" i="17" s="1"/>
  <c r="R5" i="17" a="1"/>
  <c r="R5" i="17" s="1"/>
  <c r="R93" i="17" a="1"/>
  <c r="R93" i="17" s="1"/>
  <c r="R22" i="17" a="1"/>
  <c r="R22" i="17" s="1"/>
  <c r="R31" i="17" a="1"/>
  <c r="R31" i="17" s="1"/>
  <c r="R39" i="17" a="1"/>
  <c r="R39" i="17" s="1"/>
  <c r="N4" i="17" a="1"/>
  <c r="N4" i="17" s="1"/>
  <c r="N13" i="17" a="1"/>
  <c r="N13" i="17" s="1"/>
  <c r="N21" i="17" a="1"/>
  <c r="N21" i="17" s="1"/>
  <c r="N30" i="17" a="1"/>
  <c r="N30" i="17" s="1"/>
  <c r="N38" i="17" a="1"/>
  <c r="N38" i="17" s="1"/>
  <c r="N20" i="17" a="1"/>
  <c r="N20" i="17" s="1"/>
  <c r="N67" i="17" a="1"/>
  <c r="N67" i="17" s="1"/>
  <c r="N85" i="17" a="1"/>
  <c r="N85" i="17" s="1"/>
  <c r="O95" i="17" a="1"/>
  <c r="O95" i="17" s="1"/>
  <c r="O57" i="17" a="1"/>
  <c r="O57" i="17" s="1"/>
  <c r="R38" i="17" a="1"/>
  <c r="R38" i="17" s="1"/>
  <c r="R65" i="17" a="1"/>
  <c r="R65" i="17" s="1"/>
  <c r="T99" i="17" a="1"/>
  <c r="T99" i="17" s="1"/>
  <c r="T61" i="17" a="1"/>
  <c r="T61" i="17" s="1"/>
  <c r="U45" i="17" a="1"/>
  <c r="U45" i="17" s="1"/>
  <c r="U73" i="17" a="1"/>
  <c r="U73" i="17" s="1"/>
  <c r="U91" i="17" a="1"/>
  <c r="U91" i="17" s="1"/>
  <c r="V19" i="17" a="1"/>
  <c r="V19" i="17" s="1"/>
  <c r="V37" i="17" a="1"/>
  <c r="V37" i="17" s="1"/>
  <c r="V55" i="17" a="1"/>
  <c r="V55" i="17" s="1"/>
  <c r="V73" i="17" a="1"/>
  <c r="V73" i="17" s="1"/>
  <c r="V91" i="17" a="1"/>
  <c r="V91" i="17" s="1"/>
  <c r="X19" i="17" a="1"/>
  <c r="X19" i="17" s="1"/>
  <c r="Y19" i="17" s="1"/>
  <c r="X36" i="17" a="1"/>
  <c r="X36" i="17" s="1"/>
  <c r="Y36" i="17" s="1"/>
  <c r="X53" i="17" a="1"/>
  <c r="X53" i="17" s="1"/>
  <c r="Y53" i="17" s="1"/>
  <c r="Q53" i="17" s="1"/>
  <c r="W53" i="17" s="1"/>
  <c r="X70" i="17" a="1"/>
  <c r="X70" i="17" s="1"/>
  <c r="Y70" i="17" s="1"/>
  <c r="X87" i="17" a="1"/>
  <c r="X87" i="17" s="1"/>
  <c r="Y87" i="17" s="1"/>
  <c r="N47" i="17" a="1"/>
  <c r="N47" i="17" s="1"/>
  <c r="O28" i="17" a="1"/>
  <c r="O28" i="17" s="1"/>
  <c r="O72" i="17" a="1"/>
  <c r="O72" i="17" s="1"/>
  <c r="R90" i="17" a="1"/>
  <c r="R90" i="17" s="1"/>
  <c r="S23" i="17" a="1"/>
  <c r="S23" i="17" s="1"/>
  <c r="S56" i="17" a="1"/>
  <c r="S56" i="17" s="1"/>
  <c r="S67" i="17" a="1"/>
  <c r="S67" i="17" s="1"/>
  <c r="S77" i="17" a="1"/>
  <c r="S77" i="17" s="1"/>
  <c r="S87" i="17" a="1"/>
  <c r="S87" i="17" s="1"/>
  <c r="T9" i="17" a="1"/>
  <c r="T9" i="17" s="1"/>
  <c r="T94" i="17" a="1"/>
  <c r="T94" i="17" s="1"/>
  <c r="T30" i="17" a="1"/>
  <c r="T30" i="17" s="1"/>
  <c r="T40" i="17" a="1"/>
  <c r="T40" i="17" s="1"/>
  <c r="T71" i="17" a="1"/>
  <c r="T71" i="17" s="1"/>
  <c r="T90" i="17" a="1"/>
  <c r="T90" i="17" s="1"/>
  <c r="U9" i="17" a="1"/>
  <c r="U9" i="17" s="1"/>
  <c r="U19" i="17" a="1"/>
  <c r="U19" i="17" s="1"/>
  <c r="U37" i="17" a="1"/>
  <c r="U37" i="17" s="1"/>
  <c r="U55" i="17" a="1"/>
  <c r="U55" i="17" s="1"/>
  <c r="U64" i="17" a="1"/>
  <c r="U64" i="17" s="1"/>
  <c r="U82" i="17" a="1"/>
  <c r="U82" i="17" s="1"/>
  <c r="V28" i="17" a="1"/>
  <c r="V28" i="17" s="1"/>
  <c r="V64" i="17" a="1"/>
  <c r="V64" i="17" s="1"/>
  <c r="V82" i="17" a="1"/>
  <c r="V82" i="17" s="1"/>
  <c r="N99" i="17" a="1"/>
  <c r="N99" i="17" s="1"/>
  <c r="O13" i="17" a="1"/>
  <c r="O13" i="17" s="1"/>
  <c r="O43" i="17" a="1"/>
  <c r="O43" i="17" s="1"/>
  <c r="O58" i="17" a="1"/>
  <c r="O58" i="17" s="1"/>
  <c r="O73" i="17" a="1"/>
  <c r="O73" i="17" s="1"/>
  <c r="U28" i="17" a="1"/>
  <c r="U28" i="17" s="1"/>
  <c r="U100" i="17" a="1"/>
  <c r="U100" i="17" s="1"/>
  <c r="U103" i="17" a="1"/>
  <c r="U103" i="17" s="1"/>
  <c r="U106" i="17" a="1"/>
  <c r="U106" i="17" s="1"/>
  <c r="V94" i="17" a="1"/>
  <c r="V94" i="17" s="1"/>
  <c r="V97" i="17" a="1"/>
  <c r="V97" i="17" s="1"/>
  <c r="V100" i="17" a="1"/>
  <c r="V100" i="17" s="1"/>
  <c r="V103" i="17" a="1"/>
  <c r="V103" i="17" s="1"/>
  <c r="V106" i="17" a="1"/>
  <c r="V106" i="17" s="1"/>
  <c r="X11" i="17" a="1"/>
  <c r="X11" i="17" s="1"/>
  <c r="Y11" i="17" s="1"/>
  <c r="X94" i="17" a="1"/>
  <c r="X94" i="17" s="1"/>
  <c r="Y94" i="17" s="1"/>
  <c r="X28" i="17" a="1"/>
  <c r="X28" i="17" s="1"/>
  <c r="Y28" i="17" s="1"/>
  <c r="X37" i="17" a="1"/>
  <c r="X37" i="17" s="1"/>
  <c r="Y37" i="17" s="1"/>
  <c r="X45" i="17" a="1"/>
  <c r="X45" i="17" s="1"/>
  <c r="Y45" i="17" s="1"/>
  <c r="Q45" i="17" s="1"/>
  <c r="W45" i="17" s="1"/>
  <c r="X54" i="17" a="1"/>
  <c r="X54" i="17" s="1"/>
  <c r="Y54" i="17" s="1"/>
  <c r="X62" i="17" a="1"/>
  <c r="X62" i="17" s="1"/>
  <c r="Y62" i="17" s="1"/>
  <c r="X71" i="17" a="1"/>
  <c r="X71" i="17" s="1"/>
  <c r="Y71" i="17" s="1"/>
  <c r="X104" i="17" a="1"/>
  <c r="X104" i="17" s="1"/>
  <c r="Y104" i="17" s="1"/>
  <c r="Q104" i="17" s="1"/>
  <c r="W104" i="17" s="1"/>
  <c r="X88" i="17" a="1"/>
  <c r="X88" i="17" s="1"/>
  <c r="Y88" i="17" s="1"/>
  <c r="N95" i="17" a="1"/>
  <c r="N95" i="17" s="1"/>
  <c r="O93" i="17" a="1"/>
  <c r="O93" i="17" s="1"/>
  <c r="O45" i="17" a="1"/>
  <c r="O45" i="17" s="1"/>
  <c r="O103" i="17" a="1"/>
  <c r="O103" i="17" s="1"/>
  <c r="O88" i="17" a="1"/>
  <c r="O88" i="17" s="1"/>
  <c r="R26" i="17" a="1"/>
  <c r="R26" i="17" s="1"/>
  <c r="R40" i="17" a="1"/>
  <c r="R40" i="17" s="1"/>
  <c r="R91" i="17" a="1"/>
  <c r="R91" i="17" s="1"/>
  <c r="S57" i="17" a="1"/>
  <c r="S57" i="17" s="1"/>
  <c r="S102" i="17" a="1"/>
  <c r="S102" i="17" s="1"/>
  <c r="S78" i="17" a="1"/>
  <c r="S78" i="17" s="1"/>
  <c r="T20" i="17" a="1"/>
  <c r="T20" i="17" s="1"/>
  <c r="T31" i="17" a="1"/>
  <c r="T31" i="17" s="1"/>
  <c r="T41" i="17" a="1"/>
  <c r="T41" i="17" s="1"/>
  <c r="T72" i="17" a="1"/>
  <c r="T72" i="17" s="1"/>
  <c r="T81" i="17" a="1"/>
  <c r="T81" i="17" s="1"/>
  <c r="T91" i="17" a="1"/>
  <c r="T91" i="17" s="1"/>
  <c r="U94" i="17" a="1"/>
  <c r="U94" i="17" s="1"/>
  <c r="U97" i="17" a="1"/>
  <c r="U97" i="17" s="1"/>
  <c r="U47" i="17" a="1"/>
  <c r="U47" i="17" s="1"/>
  <c r="U65" i="17" a="1"/>
  <c r="U65" i="17" s="1"/>
  <c r="V11" i="17" a="1"/>
  <c r="V11" i="17" s="1"/>
  <c r="V47" i="17" a="1"/>
  <c r="V47" i="17" s="1"/>
  <c r="V65" i="17" a="1"/>
  <c r="V65" i="17" s="1"/>
  <c r="N26" i="17" a="1"/>
  <c r="N26" i="17" s="1"/>
  <c r="N88" i="17" a="1"/>
  <c r="N88" i="17" s="1"/>
  <c r="O30" i="17" a="1"/>
  <c r="O30" i="17" s="1"/>
  <c r="O74" i="17" a="1"/>
  <c r="O74" i="17" s="1"/>
  <c r="R13" i="17" a="1"/>
  <c r="R13" i="17" s="1"/>
  <c r="S93" i="17" a="1"/>
  <c r="S93" i="17" s="1"/>
  <c r="T62" i="17" a="1"/>
  <c r="T62" i="17" s="1"/>
  <c r="U38" i="17" a="1"/>
  <c r="U38" i="17" s="1"/>
  <c r="U56" i="17" a="1"/>
  <c r="U56" i="17" s="1"/>
  <c r="U74" i="17" a="1"/>
  <c r="U74" i="17" s="1"/>
  <c r="V2" i="17" a="1"/>
  <c r="V2" i="17" s="1"/>
  <c r="V20" i="17" a="1"/>
  <c r="V20" i="17" s="1"/>
  <c r="V38" i="17" a="1"/>
  <c r="V38" i="17" s="1"/>
  <c r="V56" i="17" a="1"/>
  <c r="V56" i="17" s="1"/>
  <c r="V74" i="17" a="1"/>
  <c r="V74" i="17" s="1"/>
  <c r="X20" i="17" a="1"/>
  <c r="X20" i="17" s="1"/>
  <c r="Y20" i="17" s="1"/>
  <c r="X97" i="17" a="1"/>
  <c r="X97" i="17" s="1"/>
  <c r="Y97" i="17" s="1"/>
  <c r="X55" i="17" a="1"/>
  <c r="X55" i="17" s="1"/>
  <c r="Y55" i="17" s="1"/>
  <c r="X72" i="17" a="1"/>
  <c r="X72" i="17" s="1"/>
  <c r="Y72" i="17" s="1"/>
  <c r="Q72" i="17" s="1"/>
  <c r="W72" i="17" s="1"/>
  <c r="X89" i="17" a="1"/>
  <c r="X89" i="17" s="1"/>
  <c r="Y89" i="17" s="1"/>
  <c r="T82" i="17" a="1"/>
  <c r="T82" i="17" s="1"/>
  <c r="U20" i="17" a="1"/>
  <c r="U20" i="17" s="1"/>
  <c r="N71" i="17" a="1"/>
  <c r="N71" i="17" s="1"/>
  <c r="N89" i="17" a="1"/>
  <c r="N89" i="17" s="1"/>
  <c r="O31" i="17" a="1"/>
  <c r="O31" i="17" s="1"/>
  <c r="O60" i="17" a="1"/>
  <c r="O60" i="17" s="1"/>
  <c r="O89" i="17" a="1"/>
  <c r="O89" i="17" s="1"/>
  <c r="R100" i="17" a="1"/>
  <c r="R100" i="17" s="1"/>
  <c r="R106" i="17" a="1"/>
  <c r="R106" i="17" s="1"/>
  <c r="S36" i="17" a="1"/>
  <c r="S36" i="17" s="1"/>
  <c r="S48" i="17" a="1"/>
  <c r="S48" i="17" s="1"/>
  <c r="S58" i="17" a="1"/>
  <c r="S58" i="17" s="1"/>
  <c r="S91" i="17" a="1"/>
  <c r="S91" i="17" s="1"/>
  <c r="T11" i="17" a="1"/>
  <c r="T11" i="17" s="1"/>
  <c r="T21" i="17" a="1"/>
  <c r="T21" i="17" s="1"/>
  <c r="T53" i="17" a="1"/>
  <c r="T53" i="17" s="1"/>
  <c r="T73" i="17" a="1"/>
  <c r="T73" i="17" s="1"/>
  <c r="T106" i="17" a="1"/>
  <c r="T106" i="17" s="1"/>
  <c r="U11" i="17" a="1"/>
  <c r="U11" i="17" s="1"/>
  <c r="N54" i="17" a="1"/>
  <c r="N54" i="17" s="1"/>
  <c r="N90" i="17" a="1"/>
  <c r="N90" i="17" s="1"/>
  <c r="O16" i="17" a="1"/>
  <c r="O16" i="17" s="1"/>
  <c r="Q16" i="17" s="1"/>
  <c r="W16" i="17" s="1"/>
  <c r="O48" i="17" a="1"/>
  <c r="O48" i="17" s="1"/>
  <c r="O62" i="17" a="1"/>
  <c r="O62" i="17" s="1"/>
  <c r="O91" i="17" a="1"/>
  <c r="O91" i="17" s="1"/>
  <c r="R98" i="17" a="1"/>
  <c r="R98" i="17" s="1"/>
  <c r="N3" i="17" a="1"/>
  <c r="N3" i="17" s="1"/>
  <c r="N55" i="17" a="1"/>
  <c r="N55" i="17" s="1"/>
  <c r="N73" i="17" a="1"/>
  <c r="N73" i="17" s="1"/>
  <c r="O2" i="17" a="1"/>
  <c r="O2" i="17" s="1"/>
  <c r="O32" i="17" a="1"/>
  <c r="O32" i="17" s="1"/>
  <c r="O106" i="17" a="1"/>
  <c r="O106" i="17" s="1"/>
  <c r="R30" i="17" a="1"/>
  <c r="R30" i="17" s="1"/>
  <c r="R82" i="17" a="1"/>
  <c r="R82" i="17" s="1"/>
  <c r="S26" i="17" a="1"/>
  <c r="S26" i="17" s="1"/>
  <c r="T64" i="17" a="1"/>
  <c r="T64" i="17" s="1"/>
  <c r="U22" i="17" a="1"/>
  <c r="U22" i="17" s="1"/>
  <c r="N9" i="17" a="1"/>
  <c r="N9" i="17" s="1"/>
  <c r="N97" i="17" a="1"/>
  <c r="N97" i="17" s="1"/>
  <c r="N78" i="17" a="1"/>
  <c r="N78" i="17" s="1"/>
  <c r="O5" i="17" a="1"/>
  <c r="O5" i="17" s="1"/>
  <c r="O20" i="17" a="1"/>
  <c r="O20" i="17" s="1"/>
  <c r="O37" i="17" a="1"/>
  <c r="O37" i="17" s="1"/>
  <c r="N60" i="17" a="1"/>
  <c r="N60" i="17" s="1"/>
  <c r="O6" i="17" a="1"/>
  <c r="O6" i="17" s="1"/>
  <c r="O21" i="17" a="1"/>
  <c r="O21" i="17" s="1"/>
  <c r="R61" i="17" a="1"/>
  <c r="R61" i="17" s="1"/>
  <c r="R103" i="17" a="1"/>
  <c r="R103" i="17" s="1"/>
  <c r="S41" i="17" a="1"/>
  <c r="S41" i="17" s="1"/>
  <c r="S103" i="17" a="1"/>
  <c r="S103" i="17" s="1"/>
  <c r="S84" i="17" a="1"/>
  <c r="S84" i="17" s="1"/>
  <c r="N43" i="17" a="1"/>
  <c r="N43" i="17" s="1"/>
  <c r="O7" i="17" a="1"/>
  <c r="O7" i="17" s="1"/>
  <c r="O23" i="17" a="1"/>
  <c r="O23" i="17" s="1"/>
  <c r="O38" i="17" a="1"/>
  <c r="O38" i="17" s="1"/>
  <c r="O54" i="17" a="1"/>
  <c r="O54" i="17" s="1"/>
  <c r="O102" i="17" a="1"/>
  <c r="O102" i="17" s="1"/>
  <c r="N98" i="17" a="1"/>
  <c r="N98" i="17" s="1"/>
  <c r="N62" i="17" a="1"/>
  <c r="N62" i="17" s="1"/>
  <c r="O92" i="17" a="1"/>
  <c r="O92" i="17" s="1"/>
  <c r="O39" i="17" a="1"/>
  <c r="O39" i="17" s="1"/>
  <c r="R21" i="17" a="1"/>
  <c r="R21" i="17" s="1"/>
  <c r="R87" i="17" a="1"/>
  <c r="R87" i="17" s="1"/>
  <c r="N64" i="17" a="1"/>
  <c r="N64" i="17" s="1"/>
  <c r="O11" i="17" a="1"/>
  <c r="O11" i="17" s="1"/>
  <c r="O41" i="17" a="1"/>
  <c r="O41" i="17" s="1"/>
  <c r="O56" i="17" a="1"/>
  <c r="O56" i="17" s="1"/>
  <c r="O71" i="17" a="1"/>
  <c r="O71" i="17" s="1"/>
  <c r="O85" i="17" a="1"/>
  <c r="O85" i="17" s="1"/>
  <c r="Q85" i="17" s="1"/>
  <c r="W85" i="17" s="1"/>
  <c r="R9" i="17" a="1"/>
  <c r="R9" i="17" s="1"/>
  <c r="R23" i="17" a="1"/>
  <c r="R23" i="17" s="1"/>
  <c r="R78" i="17" a="1"/>
  <c r="R78" i="17" s="1"/>
  <c r="R89" i="17" a="1"/>
  <c r="R89" i="17" s="1"/>
  <c r="Y2" i="17"/>
  <c r="V7" i="17" a="1"/>
  <c r="V7" i="17" s="1"/>
  <c r="T70" i="17" a="1"/>
  <c r="T70" i="17" s="1"/>
  <c r="X61" i="17" a="1"/>
  <c r="X61" i="17" s="1"/>
  <c r="Y61" i="17" s="1"/>
  <c r="Q61" i="17" s="1"/>
  <c r="W61" i="17" s="1"/>
  <c r="X21" i="17" a="1"/>
  <c r="X21" i="17" s="1"/>
  <c r="Y21" i="17" s="1"/>
  <c r="Q21" i="17" s="1"/>
  <c r="W21" i="17" s="1"/>
  <c r="V78" i="17" a="1"/>
  <c r="V78" i="17" s="1"/>
  <c r="V31" i="17" a="1"/>
  <c r="V31" i="17" s="1"/>
  <c r="U85" i="17" a="1"/>
  <c r="U85" i="17" s="1"/>
  <c r="U71" i="17" a="1"/>
  <c r="U71" i="17" s="1"/>
  <c r="U60" i="17" a="1"/>
  <c r="U60" i="17" s="1"/>
  <c r="U49" i="17" a="1"/>
  <c r="U49" i="17" s="1"/>
  <c r="U24" i="17" a="1"/>
  <c r="U24" i="17" s="1"/>
  <c r="T85" i="17" a="1"/>
  <c r="T85" i="17" s="1"/>
  <c r="T23" i="17" a="1"/>
  <c r="T23" i="17" s="1"/>
  <c r="T5" i="17" a="1"/>
  <c r="T5" i="17" s="1"/>
  <c r="S61" i="17" a="1"/>
  <c r="S61" i="17" s="1"/>
  <c r="S95" i="17" a="1"/>
  <c r="S95" i="17" s="1"/>
  <c r="S6" i="17" a="1"/>
  <c r="S6" i="17" s="1"/>
  <c r="R73" i="17" a="1"/>
  <c r="R73" i="17" s="1"/>
  <c r="O63" i="17" a="1"/>
  <c r="O63" i="17" s="1"/>
  <c r="N61" i="17" a="1"/>
  <c r="N61" i="17" s="1"/>
  <c r="X22" i="17" a="1"/>
  <c r="X22" i="17" s="1"/>
  <c r="Y22" i="17" s="1"/>
  <c r="Q22" i="17" s="1"/>
  <c r="W22" i="17" s="1"/>
  <c r="U36" i="17" a="1"/>
  <c r="U36" i="17" s="1"/>
  <c r="X106" i="17" a="1"/>
  <c r="X106" i="17" s="1"/>
  <c r="Y106" i="17" s="1"/>
  <c r="Q106" i="17" s="1"/>
  <c r="W106" i="17" s="1"/>
  <c r="X41" i="17" a="1"/>
  <c r="X41" i="17" s="1"/>
  <c r="Y41" i="17" s="1"/>
  <c r="Q41" i="17" s="1"/>
  <c r="W41" i="17" s="1"/>
  <c r="X9" i="17" a="1"/>
  <c r="X9" i="17" s="1"/>
  <c r="Y9" i="17" s="1"/>
  <c r="Q9" i="17" s="1"/>
  <c r="W9" i="17" s="1"/>
  <c r="V67" i="17" a="1"/>
  <c r="V67" i="17" s="1"/>
  <c r="V42" i="17" a="1"/>
  <c r="V42" i="17" s="1"/>
  <c r="V6" i="17" a="1"/>
  <c r="V6" i="17" s="1"/>
  <c r="X81" i="17" a="1"/>
  <c r="X81" i="17" s="1"/>
  <c r="Y81" i="17" s="1"/>
  <c r="Q81" i="17" s="1"/>
  <c r="W81" i="17" s="1"/>
  <c r="X50" i="17" a="1"/>
  <c r="X50" i="17" s="1"/>
  <c r="Y50" i="17" s="1"/>
  <c r="Q50" i="17" s="1"/>
  <c r="W50" i="17" s="1"/>
  <c r="X31" i="17" a="1"/>
  <c r="X31" i="17" s="1"/>
  <c r="Y31" i="17" s="1"/>
  <c r="Q31" i="17" s="1"/>
  <c r="W31" i="17" s="1"/>
  <c r="V88" i="17" a="1"/>
  <c r="V88" i="17" s="1"/>
  <c r="V53" i="17" a="1"/>
  <c r="V53" i="17" s="1"/>
  <c r="U92" i="17" a="1"/>
  <c r="U92" i="17" s="1"/>
  <c r="T55" i="17" a="1"/>
  <c r="T55" i="17" s="1"/>
  <c r="T97" i="17" a="1"/>
  <c r="T97" i="17" s="1"/>
  <c r="T22" i="17" a="1"/>
  <c r="T22" i="17" s="1"/>
  <c r="S76" i="17" a="1"/>
  <c r="S76" i="17" s="1"/>
  <c r="S22" i="17" a="1"/>
  <c r="S22" i="17" s="1"/>
  <c r="O61" i="17" a="1"/>
  <c r="O61" i="17" s="1"/>
  <c r="O94" i="17" a="1"/>
  <c r="O94" i="17" s="1"/>
  <c r="N58" i="17" a="1"/>
  <c r="N58" i="17" s="1"/>
  <c r="R42" i="17" a="1"/>
  <c r="R42" i="17" s="1"/>
  <c r="T42" i="17" a="1"/>
  <c r="T42" i="17" s="1"/>
  <c r="N42" i="17" a="1"/>
  <c r="N42" i="17" s="1"/>
  <c r="O42" i="17" a="1"/>
  <c r="O42" i="17" s="1"/>
  <c r="V102" i="17" a="1"/>
  <c r="V102" i="17" s="1"/>
  <c r="U99" i="17" a="1"/>
  <c r="U99" i="17" s="1"/>
  <c r="X91" i="17" a="1"/>
  <c r="X91" i="17" s="1"/>
  <c r="Y91" i="17" s="1"/>
  <c r="X40" i="17" a="1"/>
  <c r="X40" i="17" s="1"/>
  <c r="Y40" i="17" s="1"/>
  <c r="Q40" i="17" s="1"/>
  <c r="W40" i="17" s="1"/>
  <c r="V77" i="17" a="1"/>
  <c r="V77" i="17" s="1"/>
  <c r="V41" i="17" a="1"/>
  <c r="V41" i="17" s="1"/>
  <c r="V30" i="17" a="1"/>
  <c r="V30" i="17" s="1"/>
  <c r="V16" i="17" a="1"/>
  <c r="V16" i="17" s="1"/>
  <c r="V5" i="17" a="1"/>
  <c r="V5" i="17" s="1"/>
  <c r="U84" i="17" a="1"/>
  <c r="U84" i="17" s="1"/>
  <c r="U70" i="17" a="1"/>
  <c r="U70" i="17" s="1"/>
  <c r="U59" i="17" a="1"/>
  <c r="U59" i="17" s="1"/>
  <c r="U48" i="17" a="1"/>
  <c r="U48" i="17" s="1"/>
  <c r="U23" i="17" a="1"/>
  <c r="U23" i="17" s="1"/>
  <c r="T84" i="17" a="1"/>
  <c r="T84" i="17" s="1"/>
  <c r="T54" i="17" a="1"/>
  <c r="T54" i="17" s="1"/>
  <c r="T4" i="17" a="1"/>
  <c r="T4" i="17" s="1"/>
  <c r="S60" i="17" a="1"/>
  <c r="S60" i="17" s="1"/>
  <c r="S5" i="17" a="1"/>
  <c r="S5" i="17" s="1"/>
  <c r="O100" i="17" a="1"/>
  <c r="O100" i="17" s="1"/>
  <c r="N100" i="17" a="1"/>
  <c r="N100" i="17" s="1"/>
  <c r="X73" i="17" a="1"/>
  <c r="X73" i="17" s="1"/>
  <c r="Y73" i="17" s="1"/>
  <c r="X42" i="17" a="1"/>
  <c r="X42" i="17" s="1"/>
  <c r="Y42" i="17" s="1"/>
  <c r="Q42" i="17" s="1"/>
  <c r="W42" i="17" s="1"/>
  <c r="U72" i="17" a="1"/>
  <c r="U72" i="17" s="1"/>
  <c r="T6" i="17" a="1"/>
  <c r="T6" i="17" s="1"/>
  <c r="X60" i="17" a="1"/>
  <c r="X60" i="17" s="1"/>
  <c r="Y60" i="17" s="1"/>
  <c r="Q60" i="17" s="1"/>
  <c r="W60" i="17" s="1"/>
  <c r="X8" i="17" a="1"/>
  <c r="X8" i="17" s="1"/>
  <c r="Y8" i="17" s="1"/>
  <c r="Q8" i="17" s="1"/>
  <c r="W8" i="17" s="1"/>
  <c r="V66" i="17" a="1"/>
  <c r="V66" i="17" s="1"/>
  <c r="X99" i="17" a="1"/>
  <c r="X99" i="17" s="1"/>
  <c r="Y99" i="17" s="1"/>
  <c r="Q99" i="17" s="1"/>
  <c r="W99" i="17" s="1"/>
  <c r="X30" i="17" a="1"/>
  <c r="X30" i="17" s="1"/>
  <c r="Y30" i="17" s="1"/>
  <c r="V87" i="17" a="1"/>
  <c r="V87" i="17" s="1"/>
  <c r="V76" i="17" a="1"/>
  <c r="V76" i="17" s="1"/>
  <c r="V63" i="17" a="1"/>
  <c r="V63" i="17" s="1"/>
  <c r="U81" i="17" a="1"/>
  <c r="U81" i="17" s="1"/>
  <c r="U7" i="17" a="1"/>
  <c r="U7" i="17" s="1"/>
  <c r="T83" i="17" a="1"/>
  <c r="T83" i="17" s="1"/>
  <c r="T67" i="17" a="1"/>
  <c r="T67" i="17" s="1"/>
  <c r="T37" i="17" a="1"/>
  <c r="T37" i="17" s="1"/>
  <c r="T19" i="17" a="1"/>
  <c r="T19" i="17" s="1"/>
  <c r="S75" i="17" a="1"/>
  <c r="S75" i="17" s="1"/>
  <c r="S59" i="17" a="1"/>
  <c r="S59" i="17" s="1"/>
  <c r="O55" i="17" a="1"/>
  <c r="O55" i="17" s="1"/>
  <c r="O15" i="17" a="1"/>
  <c r="O15" i="17" s="1"/>
  <c r="R85" i="17" a="1"/>
  <c r="R85" i="17" s="1"/>
  <c r="R102" i="17" a="1"/>
  <c r="R102" i="17" s="1"/>
  <c r="R50" i="17" a="1"/>
  <c r="R50" i="17" s="1"/>
  <c r="R33" i="17" a="1"/>
  <c r="R33" i="17" s="1"/>
  <c r="R16" i="17" a="1"/>
  <c r="R16" i="17" s="1"/>
  <c r="R84" i="17" a="1"/>
  <c r="R84" i="17" s="1"/>
  <c r="R67" i="17" a="1"/>
  <c r="R67" i="17" s="1"/>
  <c r="R99" i="17" a="1"/>
  <c r="R99" i="17" s="1"/>
  <c r="R32" i="17" a="1"/>
  <c r="R32" i="17" s="1"/>
  <c r="R15" i="17" a="1"/>
  <c r="R15" i="17" s="1"/>
  <c r="N31" i="17" a="1"/>
  <c r="N31" i="17" s="1"/>
  <c r="N93" i="17" a="1"/>
  <c r="N93" i="17" s="1"/>
  <c r="S81" i="17" a="1"/>
  <c r="S81" i="17" s="1"/>
  <c r="S64" i="17" a="1"/>
  <c r="S64" i="17" s="1"/>
  <c r="S47" i="17" a="1"/>
  <c r="S47" i="17" s="1"/>
  <c r="S30" i="17" a="1"/>
  <c r="S30" i="17" s="1"/>
  <c r="S13" i="17" a="1"/>
  <c r="S13" i="17" s="1"/>
  <c r="R77" i="17" a="1"/>
  <c r="R77" i="17" s="1"/>
  <c r="R60" i="17" a="1"/>
  <c r="R60" i="17" s="1"/>
  <c r="R43" i="17" a="1"/>
  <c r="R43" i="17" s="1"/>
  <c r="R95" i="17" a="1"/>
  <c r="R95" i="17" s="1"/>
  <c r="R8" i="17" a="1"/>
  <c r="R8" i="17" s="1"/>
  <c r="R75" i="17" a="1"/>
  <c r="R75" i="17" s="1"/>
  <c r="R58" i="17" a="1"/>
  <c r="R58" i="17" s="1"/>
  <c r="R41" i="17" a="1"/>
  <c r="R41" i="17" s="1"/>
  <c r="R24" i="17" a="1"/>
  <c r="R24" i="17" s="1"/>
  <c r="R7" i="17" a="1"/>
  <c r="R7" i="17" s="1"/>
  <c r="R45" i="17" a="1"/>
  <c r="R45" i="17" s="1"/>
  <c r="R37" i="17" a="1"/>
  <c r="R37" i="17" s="1"/>
  <c r="R28" i="17" a="1"/>
  <c r="R28" i="17" s="1"/>
  <c r="R94" i="17" a="1"/>
  <c r="R94" i="17" s="1"/>
  <c r="R11" i="17" a="1"/>
  <c r="R11" i="17" s="1"/>
  <c r="R2" i="17" a="1"/>
  <c r="R2" i="17" s="1"/>
  <c r="S90" i="17" a="1"/>
  <c r="S90" i="17" s="1"/>
  <c r="S73" i="17" a="1"/>
  <c r="S73" i="17" s="1"/>
  <c r="S100" i="17" a="1"/>
  <c r="S100" i="17" s="1"/>
  <c r="S38" i="17" a="1"/>
  <c r="S38" i="17" s="1"/>
  <c r="S21" i="17" a="1"/>
  <c r="S21" i="17" s="1"/>
  <c r="S4" i="17" a="1"/>
  <c r="S4" i="17" s="1"/>
  <c r="N57" i="17" a="1"/>
  <c r="N57" i="17" s="1"/>
  <c r="N40" i="17" a="1"/>
  <c r="N40" i="17" s="1"/>
  <c r="N23" i="17" a="1"/>
  <c r="N23" i="17" s="1"/>
  <c r="N6" i="17" a="1"/>
  <c r="N6" i="17" s="1"/>
  <c r="S97" i="17" a="1"/>
  <c r="S97" i="17" s="1"/>
  <c r="S20" i="17" a="1"/>
  <c r="S20" i="17" s="1"/>
  <c r="S3" i="17" a="1"/>
  <c r="S3" i="17" s="1"/>
  <c r="N48" i="17" a="1"/>
  <c r="N48" i="17" s="1"/>
  <c r="N39" i="17" a="1"/>
  <c r="N39" i="17" s="1"/>
  <c r="N22" i="17" a="1"/>
  <c r="N22" i="17" s="1"/>
  <c r="N5" i="17" a="1"/>
  <c r="N5" i="17" s="1"/>
  <c r="S54" i="17" a="1"/>
  <c r="S54" i="17" s="1"/>
  <c r="S45" i="17" a="1"/>
  <c r="S45" i="17" s="1"/>
  <c r="S37" i="17" a="1"/>
  <c r="S37" i="17" s="1"/>
  <c r="S28" i="17" a="1"/>
  <c r="S28" i="17" s="1"/>
  <c r="S94" i="17" a="1"/>
  <c r="S94" i="17" s="1"/>
  <c r="S11" i="17" a="1"/>
  <c r="S11" i="17" s="1"/>
  <c r="S2" i="17" a="1"/>
  <c r="S2" i="17" s="1"/>
  <c r="Q59" i="17" l="1"/>
  <c r="W59" i="17" s="1"/>
  <c r="Q74" i="17"/>
  <c r="W74" i="17" s="1"/>
  <c r="Q7" i="17"/>
  <c r="W7" i="17" s="1"/>
  <c r="Q2" i="17"/>
  <c r="W2" i="17" s="1"/>
  <c r="Q71" i="17"/>
  <c r="W71" i="17" s="1"/>
  <c r="Q14" i="17"/>
  <c r="W14" i="17" s="1"/>
  <c r="Q62" i="17"/>
  <c r="W62" i="17" s="1"/>
  <c r="Q26" i="17"/>
  <c r="W26" i="17" s="1"/>
  <c r="Q33" i="17"/>
  <c r="W33" i="17" s="1"/>
  <c r="Q6" i="17"/>
  <c r="W6" i="17" s="1"/>
  <c r="Q105" i="17"/>
  <c r="W105" i="17" s="1"/>
  <c r="Q44" i="17"/>
  <c r="W44" i="17" s="1"/>
  <c r="Q69" i="17"/>
  <c r="W69" i="17" s="1"/>
  <c r="Q93" i="17"/>
  <c r="W93" i="17" s="1"/>
  <c r="Q92" i="17"/>
  <c r="W92" i="17" s="1"/>
  <c r="Q67" i="17"/>
  <c r="W67" i="17" s="1"/>
  <c r="Q91" i="17"/>
  <c r="W91" i="17" s="1"/>
  <c r="Q73" i="17"/>
  <c r="W73" i="17" s="1"/>
  <c r="Q89" i="17"/>
  <c r="W89" i="17" s="1"/>
  <c r="Q96" i="17"/>
  <c r="W96" i="17" s="1"/>
  <c r="Q27" i="17"/>
  <c r="W27" i="17" s="1"/>
  <c r="Q80" i="17"/>
  <c r="W80" i="17" s="1"/>
  <c r="Q90" i="17"/>
  <c r="W90" i="17" s="1"/>
  <c r="Q97" i="17"/>
  <c r="W97" i="17" s="1"/>
  <c r="Q76" i="17"/>
  <c r="W76" i="17" s="1"/>
  <c r="Q15" i="17"/>
  <c r="W15" i="17" s="1"/>
  <c r="Q20" i="17"/>
  <c r="W20" i="17" s="1"/>
  <c r="Q88" i="17"/>
  <c r="W88" i="17" s="1"/>
  <c r="Q103" i="17"/>
  <c r="W103" i="17" s="1"/>
  <c r="Q100" i="17"/>
  <c r="W100" i="17" s="1"/>
  <c r="Q49" i="17"/>
  <c r="W49" i="17" s="1"/>
  <c r="Q23" i="17"/>
  <c r="W23" i="17" s="1"/>
  <c r="Q43" i="17"/>
  <c r="W43" i="17" s="1"/>
  <c r="Q51" i="17"/>
  <c r="W51" i="17" s="1"/>
  <c r="Q55" i="17"/>
  <c r="W55" i="17" s="1"/>
  <c r="Q46" i="17"/>
  <c r="W46" i="17" s="1"/>
  <c r="Q68" i="17"/>
  <c r="W68" i="17" s="1"/>
  <c r="Q64" i="17"/>
  <c r="W64" i="17" s="1"/>
  <c r="Q4" i="17"/>
  <c r="W4" i="17" s="1"/>
  <c r="Q38" i="17"/>
  <c r="W38" i="17" s="1"/>
  <c r="Q54" i="17"/>
  <c r="W54" i="17" s="1"/>
  <c r="Q28" i="17"/>
  <c r="W28" i="17" s="1"/>
  <c r="Q98" i="17"/>
  <c r="W98" i="17" s="1"/>
  <c r="Q5" i="17"/>
  <c r="W5" i="17" s="1"/>
  <c r="Q13" i="17"/>
  <c r="W13" i="17" s="1"/>
  <c r="Q94" i="17"/>
  <c r="W94" i="17" s="1"/>
  <c r="Q87" i="17"/>
  <c r="W87" i="17" s="1"/>
  <c r="Q56" i="17"/>
  <c r="W56" i="17" s="1"/>
  <c r="Q95" i="17"/>
  <c r="W95" i="17" s="1"/>
  <c r="Q57" i="17"/>
  <c r="W57" i="17" s="1"/>
  <c r="Q58" i="17"/>
  <c r="W58" i="17" s="1"/>
  <c r="Q11" i="17"/>
  <c r="W11" i="17" s="1"/>
  <c r="Q70" i="17"/>
  <c r="W70" i="17" s="1"/>
  <c r="Q47" i="17"/>
  <c r="W47" i="17" s="1"/>
  <c r="Q75" i="17"/>
  <c r="W75" i="17" s="1"/>
  <c r="Q83" i="17"/>
  <c r="W83" i="17" s="1"/>
  <c r="Q48" i="17"/>
  <c r="W48" i="17" s="1"/>
  <c r="Q39" i="17"/>
  <c r="W39" i="17" s="1"/>
  <c r="Q63" i="17"/>
  <c r="W63" i="17" s="1"/>
  <c r="Q24" i="17"/>
  <c r="W24" i="17" s="1"/>
  <c r="Q77" i="17"/>
  <c r="W77" i="17" s="1"/>
  <c r="Q102" i="17"/>
  <c r="W102" i="17" s="1"/>
  <c r="Q30" i="17"/>
  <c r="W30" i="17" s="1"/>
  <c r="Q36" i="17"/>
  <c r="W36" i="17" s="1"/>
  <c r="Q35" i="17"/>
  <c r="W35" i="17" s="1"/>
  <c r="Q37" i="17"/>
  <c r="W37" i="17" s="1"/>
  <c r="Q19" i="17"/>
  <c r="W19" i="17" s="1"/>
  <c r="Q65" i="17"/>
  <c r="W65" i="17" s="1"/>
  <c r="Q32" i="17"/>
  <c r="W32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furkan\desktop\senaryolar\banka_personel3_gise\model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furkan\desktop\senaryolar\banka_personel3_gise\model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furkan\desktop\senaryolar\banka_personel3_gise\model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furkan\desktop\senaryolar\banka_personel3_gise\model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furkan\desktop\senaryolar\banka_personel3_gise\model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furkan\desktop\senaryolar\banka_personel3_gise\model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<sst xmlns="http://schemas.openxmlformats.org/spreadsheetml/2006/main" count="1487" uniqueCount="99">
  <si>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</si>
  <si>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</si>
  <si>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</si>
  <si>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</si>
  <si>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</si>
  <si>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</si>
  <si>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</si>
  <si>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</si>
  <si>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</si>
  <si>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</si>
  <si>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</si>
  <si>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</si>
  <si>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</si>
  <si>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</si>
  <si>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</si>
  <si>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</si>
  <si>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</si>
  <si>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</si>
  <si>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</si>
  <si>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</si>
  <si>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</si>
  <si>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</si>
  <si>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</si>
  <si>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</si>
  <si>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</si>
  <si>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</si>
  <si>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</si>
  <si>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</si>
  <si>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</si>
  <si>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</si>
  <si>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</si>
  <si>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</si>
  <si>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</si>
  <si>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</si>
  <si>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</si>
  <si>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</si>
  <si>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</si>
  <si>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</si>
  <si>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</si>
  <si>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</si>
  <si>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</si>
  <si>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</si>
  <si>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</si>
  <si>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</si>
  <si>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</si>
  <si>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</si>
  <si>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</si>
  <si>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</si>
  <si>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</si>
  <si>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</si>
  <si>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</si>
  <si>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</si>
  <si>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</si>
  <si>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</si>
  <si>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</si>
  <si>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</si>
  <si>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</si>
  <si>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</si>
  <si>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</si>
  <si>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</si>
  <si>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</si>
  <si>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</si>
  <si>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</si>
  <si>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</si>
  <si>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</si>
  <si>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</si>
  <si>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</si>
  <si>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</si>
  <si>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C:\Users\Furkan\Desktop\Senaryolar\Banka_Personel3_Gise\Model1.p</t>
  </si>
  <si>
    <t>2025-06-18 23:52:34</t>
  </si>
  <si>
    <t>Entity 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</si>
  <si>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</si>
  <si>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</si>
  <si>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</si>
  <si>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</si>
  <si>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</si>
  <si>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</si>
  <si>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</si>
  <si>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Gise_Kap.Queue</t>
  </si>
  <si>
    <t>Waiting Time</t>
  </si>
  <si>
    <t>Queue</t>
  </si>
  <si>
    <t>WIP</t>
  </si>
  <si>
    <t>Gise</t>
  </si>
  <si>
    <t>Instantaneous Utilization</t>
  </si>
  <si>
    <t>Resource</t>
  </si>
  <si>
    <t>Number Busy</t>
  </si>
  <si>
    <t>Number Scheduled</t>
  </si>
  <si>
    <t>Number Waiting</t>
  </si>
  <si>
    <t>Entity 1.NumberIn</t>
  </si>
  <si>
    <t>Number In</t>
  </si>
  <si>
    <t>Entity 1.NumberOut</t>
  </si>
  <si>
    <t>Number Out</t>
  </si>
  <si>
    <t>Gise.NumberSeized</t>
  </si>
  <si>
    <t>Total Number Seized</t>
  </si>
  <si>
    <t>Gise.ScheduledUtilization</t>
  </si>
  <si>
    <t>Scheduled Utilization</t>
  </si>
  <si>
    <t>System.NumberOut</t>
  </si>
  <si>
    <t>System</t>
  </si>
  <si>
    <t>(boş)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</si>
</sst>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4" formatCode="0.00%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urkan" refreshedDate="45827.014107870367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urkan" refreshedDate="45827.014107986113" createdVersion="7" refreshedVersion="8" minRefreshableVersion="3" recordCount="7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5"/>
    </cacheField>
    <cacheField name="Name" numFmtId="0">
      <sharedItems containsBlank="1" count="126">
        <s v="Entity 1"/>
        <s v="Gise"/>
        <s v="Gise_Kap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1.73231027184055E-3" maxValue="3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containsInteger="1" minValue="1" maxValue="7"/>
    </cacheField>
    <cacheField name="LastRecordedValue" numFmtId="0">
      <sharedItems containsSemiMixedTypes="0" containsString="0" containsNumber="1" minValue="0" maxValue="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5" maxValue="15"/>
    </cacheField>
    <cacheField name="AverageOfAverage" numFmtId="0">
      <sharedItems containsSemiMixedTypes="0" containsString="0" containsNumber="1" minValue="3.5922440131245965E-2" maxValue="3"/>
    </cacheField>
    <cacheField name="StDevOfAverage" numFmtId="0">
      <sharedItems containsSemiMixedTypes="0" containsString="0" containsNumber="1" minValue="0" maxValue="0.126780258722823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7.0208567115518081E-2"/>
    </cacheField>
    <cacheField name="MinimumAverage" numFmtId="0">
      <sharedItems containsSemiMixedTypes="0" containsString="0" containsNumber="1" minValue="1.73231027184055E-3" maxValue="3"/>
    </cacheField>
    <cacheField name="MaximumAverage" numFmtId="0">
      <sharedItems containsSemiMixedTypes="0" containsString="0" containsNumber="1" minValue="0.10147907072585501" maxValue="3"/>
    </cacheField>
    <cacheField name="SummaryHalfWidth" numFmtId="0">
      <sharedItems containsSemiMixedTypes="0" containsString="0" containsNumber="1" minValue="0" maxValue="7.020856711551808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urkan" refreshedDate="45827.014108101852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urkan" refreshedDate="45827.014108101852" createdVersion="7" refreshedVersion="8" minRefreshableVersion="3" recordCount="105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5"/>
    </cacheField>
    <cacheField name="Name" numFmtId="0">
      <sharedItems containsBlank="1" count="100">
        <s v="Entity 1"/>
        <s v="Gise_Kap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5.8751548496606301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2.6239264001902098"/>
    </cacheField>
    <cacheField name="Maximum" numFmtId="0">
      <sharedItems containsSemiMixedTypes="0" containsString="0" containsNumber="1" minValue="0" maxValue="14.372657531026899"/>
    </cacheField>
    <cacheField name="NumberObservations" numFmtId="0">
      <sharedItems containsSemiMixedTypes="0" containsString="0" containsNumber="1" containsInteger="1" minValue="81" maxValue="116"/>
    </cacheField>
    <cacheField name="GroupByKey" numFmtId="0">
      <sharedItems/>
    </cacheField>
    <cacheField name="RepsRequested" numFmtId="0">
      <sharedItems containsSemiMixedTypes="0" containsString="0" containsNumber="1" containsInteger="1" minValue="15" maxValue="15"/>
    </cacheField>
    <cacheField name="AverageOfAverage" numFmtId="0">
      <sharedItems containsSemiMixedTypes="0" containsString="0" containsNumber="1" minValue="0" maxValue="5.5213045410337314"/>
    </cacheField>
    <cacheField name="StDevOfAverage" numFmtId="0">
      <sharedItems containsSemiMixedTypes="0" containsString="0" containsNumber="1" minValue="0" maxValue="0.2171514094168262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12025444225983377"/>
    </cacheField>
    <cacheField name="MinimumAverage" numFmtId="0">
      <sharedItems containsSemiMixedTypes="0" containsString="0" containsNumber="1" minValue="0" maxValue="5.1279993537933004"/>
    </cacheField>
    <cacheField name="MaximumAverage" numFmtId="0">
      <sharedItems containsSemiMixedTypes="0" containsString="0" containsNumber="1" minValue="0" maxValue="5.8751548496606301"/>
    </cacheField>
    <cacheField name="OverallMinimum" numFmtId="0">
      <sharedItems containsSemiMixedTypes="0" containsString="0" containsNumber="1" minValue="0" maxValue="2.2298426260786299"/>
    </cacheField>
    <cacheField name="OverallMaximum" numFmtId="0">
      <sharedItems containsSemiMixedTypes="0" containsString="0" containsNumber="1" minValue="0" maxValue="14.372657531026899"/>
    </cacheField>
    <cacheField name="AverageNumberObservations" numFmtId="0">
      <sharedItems containsSemiMixedTypes="0" containsString="0" containsNumber="1" minValue="95.2" maxValue="96.066666666666663"/>
    </cacheField>
    <cacheField name="SummaryHalfWidth" numFmtId="0">
      <sharedItems containsSemiMixedTypes="0" containsString="0" containsNumber="1" minValue="0" maxValue="0.12025444225983377"/>
    </cacheField>
    <cacheField name="RepsWithStatObserved" numFmtId="0">
      <sharedItems containsSemiMixedTypes="0" containsString="0" containsNumber="1" containsInteger="1" minValue="15" maxValue="15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urkan" refreshedDate="45827.014108217591" createdVersion="7" refreshedVersion="8" minRefreshableVersion="3" recordCount="7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5"/>
    </cacheField>
    <cacheField name="Name" numFmtId="0">
      <sharedItems containsBlank="1" count="81">
        <s v="Entity 1.NumberIn"/>
        <s v="Entity 1.NumberOut"/>
        <s v="Gise.NumberSeized"/>
        <s v="Gise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29520999449618501" maxValue="116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5" maxValue="15"/>
    </cacheField>
    <cacheField name="Average" numFmtId="0">
      <sharedItems containsSemiMixedTypes="0" containsString="0" containsNumber="1" minValue="0.35538558845326462" maxValue="96.066666666666663"/>
    </cacheField>
    <cacheField name="StandardDeviation" numFmtId="0">
      <sharedItems containsSemiMixedTypes="0" containsString="0" containsNumber="1" minValue="3.5995680767676681E-2" maxValue="9.305912099305475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1.9933743585200857E-2" maxValue="5.1534423480205414"/>
    </cacheField>
    <cacheField name="Minimum" numFmtId="0">
      <sharedItems containsSemiMixedTypes="0" containsString="0" containsNumber="1" minValue="0.29520999449618501" maxValue="82"/>
    </cacheField>
    <cacheField name="Maximum" numFmtId="0">
      <sharedItems containsSemiMixedTypes="0" containsString="0" containsNumber="1" minValue="0.43628573463419201" maxValue="1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">
  <r>
    <x v="0"/>
    <s v="2025-06-18 23:52:34"/>
    <n v="1"/>
    <x v="0"/>
    <x v="0"/>
    <x v="0"/>
    <n v="1.07326825122645"/>
    <n v="2E+20"/>
    <n v="0"/>
    <n v="5"/>
    <n v="0"/>
    <n v="0"/>
    <s v="Unnamed ProjectEntity 1WIPEntity"/>
    <n v="15"/>
    <n v="1.1020792054910398"/>
    <n v="0.1267802587228237"/>
    <n v="0.95"/>
    <n v="7.0208567115518081E-2"/>
    <n v="0.90784484322507997"/>
    <n v="1.41033627462843"/>
    <n v="7.0208567115518081E-2"/>
  </r>
  <r>
    <x v="0"/>
    <s v="2025-06-18 23:52:34"/>
    <n v="1"/>
    <x v="1"/>
    <x v="1"/>
    <x v="1"/>
    <n v="0.34638321894525598"/>
    <n v="2E+20"/>
    <n v="0"/>
    <n v="1"/>
    <n v="0"/>
    <n v="0"/>
    <s v="Unnamed ProjectGiseInstantaneous UtilizationResource"/>
    <n v="15"/>
    <n v="0.35538558845326457"/>
    <n v="3.5995680767676695E-2"/>
    <n v="0.95"/>
    <n v="1.9933743585200864E-2"/>
    <n v="0.29520999449618501"/>
    <n v="0.43628573463419201"/>
    <n v="1.9933743585200864E-2"/>
  </r>
  <r>
    <x v="0"/>
    <s v="2025-06-18 23:52:34"/>
    <n v="1"/>
    <x v="1"/>
    <x v="2"/>
    <x v="1"/>
    <n v="1.0391496568357701"/>
    <n v="2E+20"/>
    <n v="0"/>
    <n v="3"/>
    <n v="0"/>
    <n v="0"/>
    <s v="Unnamed ProjectGiseNumber BusyResource"/>
    <n v="15"/>
    <n v="1.0661567653597936"/>
    <n v="0.10798704230303055"/>
    <n v="0.95"/>
    <n v="5.9801230755602848E-2"/>
    <n v="0.88562998348855504"/>
    <n v="1.3088572039025801"/>
    <n v="5.9801230755602848E-2"/>
  </r>
  <r>
    <x v="0"/>
    <s v="2025-06-18 23:52:34"/>
    <n v="1"/>
    <x v="1"/>
    <x v="3"/>
    <x v="1"/>
    <n v="3"/>
    <n v="2E+20"/>
    <n v="3"/>
    <n v="3"/>
    <n v="3"/>
    <n v="0"/>
    <s v="Unnamed ProjectGiseNumber ScheduledResource"/>
    <n v="15"/>
    <n v="3"/>
    <n v="0"/>
    <n v="0.95"/>
    <n v="0"/>
    <n v="3"/>
    <n v="3"/>
    <n v="0"/>
  </r>
  <r>
    <x v="0"/>
    <s v="2025-06-18 23:52:34"/>
    <n v="1"/>
    <x v="2"/>
    <x v="4"/>
    <x v="2"/>
    <n v="3.4118594390685202E-2"/>
    <n v="2E+20"/>
    <n v="0"/>
    <n v="2"/>
    <n v="0"/>
    <n v="0"/>
    <s v="Unnamed ProjectGise_Kap.QueueNumber WaitingQueue"/>
    <n v="15"/>
    <n v="3.5922440131245965E-2"/>
    <n v="2.6927906502440924E-2"/>
    <n v="0.95"/>
    <n v="1.4912177574036362E-2"/>
    <n v="1.73231027184055E-3"/>
    <n v="0.10147907072585501"/>
    <n v="1.4912177574036362E-2"/>
  </r>
  <r>
    <x v="0"/>
    <s v="2025-06-18 23:52:34"/>
    <n v="2"/>
    <x v="0"/>
    <x v="0"/>
    <x v="0"/>
    <n v="1.22378188702875"/>
    <n v="2E+20"/>
    <n v="0"/>
    <n v="6"/>
    <n v="0"/>
    <n v="0"/>
    <s v="Unnamed ProjectEntity 1WIPEntity"/>
    <n v="15"/>
    <n v="1.1020792054910398"/>
    <n v="0.1267802587228237"/>
    <n v="0.95"/>
    <n v="7.0208567115518081E-2"/>
    <n v="0.90784484322507997"/>
    <n v="1.41033627462843"/>
    <n v="7.0208567115518081E-2"/>
  </r>
  <r>
    <x v="0"/>
    <s v="2025-06-18 23:52:34"/>
    <n v="2"/>
    <x v="1"/>
    <x v="1"/>
    <x v="1"/>
    <n v="0.39313134868701699"/>
    <n v="2E+20"/>
    <n v="0"/>
    <n v="1"/>
    <n v="0"/>
    <n v="0"/>
    <s v="Unnamed ProjectGiseInstantaneous UtilizationResource"/>
    <n v="15"/>
    <n v="0.35538558845326457"/>
    <n v="3.5995680767676695E-2"/>
    <n v="0.95"/>
    <n v="1.9933743585200864E-2"/>
    <n v="0.29520999449618501"/>
    <n v="0.43628573463419201"/>
    <n v="1.9933743585200864E-2"/>
  </r>
  <r>
    <x v="0"/>
    <s v="2025-06-18 23:52:34"/>
    <n v="2"/>
    <x v="1"/>
    <x v="2"/>
    <x v="1"/>
    <n v="1.1793940460610499"/>
    <n v="2E+20"/>
    <n v="0"/>
    <n v="3"/>
    <n v="0"/>
    <n v="0"/>
    <s v="Unnamed ProjectGiseNumber BusyResource"/>
    <n v="15"/>
    <n v="1.0661567653597936"/>
    <n v="0.10798704230303055"/>
    <n v="0.95"/>
    <n v="5.9801230755602848E-2"/>
    <n v="0.88562998348855504"/>
    <n v="1.3088572039025801"/>
    <n v="5.9801230755602848E-2"/>
  </r>
  <r>
    <x v="0"/>
    <s v="2025-06-18 23:52:34"/>
    <n v="2"/>
    <x v="1"/>
    <x v="3"/>
    <x v="1"/>
    <n v="3"/>
    <n v="2E+20"/>
    <n v="3"/>
    <n v="3"/>
    <n v="3"/>
    <n v="0"/>
    <s v="Unnamed ProjectGiseNumber ScheduledResource"/>
    <n v="15"/>
    <n v="3"/>
    <n v="0"/>
    <n v="0.95"/>
    <n v="0"/>
    <n v="3"/>
    <n v="3"/>
    <n v="0"/>
  </r>
  <r>
    <x v="0"/>
    <s v="2025-06-18 23:52:34"/>
    <n v="2"/>
    <x v="2"/>
    <x v="4"/>
    <x v="2"/>
    <n v="4.43878409676998E-2"/>
    <n v="2E+20"/>
    <n v="0"/>
    <n v="3"/>
    <n v="0"/>
    <n v="0"/>
    <s v="Unnamed ProjectGise_Kap.QueueNumber WaitingQueue"/>
    <n v="15"/>
    <n v="3.5922440131245965E-2"/>
    <n v="2.6927906502440924E-2"/>
    <n v="0.95"/>
    <n v="1.4912177574036362E-2"/>
    <n v="1.73231027184055E-3"/>
    <n v="0.10147907072585501"/>
    <n v="1.4912177574036362E-2"/>
  </r>
  <r>
    <x v="0"/>
    <s v="2025-06-18 23:52:34"/>
    <n v="3"/>
    <x v="0"/>
    <x v="0"/>
    <x v="0"/>
    <n v="1.41033627462843"/>
    <n v="2E+20"/>
    <n v="0"/>
    <n v="7"/>
    <n v="0"/>
    <n v="0"/>
    <s v="Unnamed ProjectEntity 1WIPEntity"/>
    <n v="15"/>
    <n v="1.1020792054910398"/>
    <n v="0.1267802587228237"/>
    <n v="0.95"/>
    <n v="7.0208567115518081E-2"/>
    <n v="0.90784484322507997"/>
    <n v="1.41033627462843"/>
    <n v="7.0208567115518081E-2"/>
  </r>
  <r>
    <x v="0"/>
    <s v="2025-06-18 23:52:34"/>
    <n v="3"/>
    <x v="1"/>
    <x v="1"/>
    <x v="1"/>
    <n v="0.43628573463419201"/>
    <n v="2E+20"/>
    <n v="0"/>
    <n v="1"/>
    <n v="0"/>
    <n v="0"/>
    <s v="Unnamed ProjectGiseInstantaneous UtilizationResource"/>
    <n v="15"/>
    <n v="0.35538558845326457"/>
    <n v="3.5995680767676695E-2"/>
    <n v="0.95"/>
    <n v="1.9933743585200864E-2"/>
    <n v="0.29520999449618501"/>
    <n v="0.43628573463419201"/>
    <n v="1.9933743585200864E-2"/>
  </r>
  <r>
    <x v="0"/>
    <s v="2025-06-18 23:52:34"/>
    <n v="3"/>
    <x v="1"/>
    <x v="2"/>
    <x v="1"/>
    <n v="1.3088572039025801"/>
    <n v="2E+20"/>
    <n v="0"/>
    <n v="3"/>
    <n v="0"/>
    <n v="0"/>
    <s v="Unnamed ProjectGiseNumber BusyResource"/>
    <n v="15"/>
    <n v="1.0661567653597936"/>
    <n v="0.10798704230303055"/>
    <n v="0.95"/>
    <n v="5.9801230755602848E-2"/>
    <n v="0.88562998348855504"/>
    <n v="1.3088572039025801"/>
    <n v="5.9801230755602848E-2"/>
  </r>
  <r>
    <x v="0"/>
    <s v="2025-06-18 23:52:34"/>
    <n v="3"/>
    <x v="1"/>
    <x v="3"/>
    <x v="1"/>
    <n v="3"/>
    <n v="2E+20"/>
    <n v="3"/>
    <n v="3"/>
    <n v="3"/>
    <n v="0"/>
    <s v="Unnamed ProjectGiseNumber ScheduledResource"/>
    <n v="15"/>
    <n v="3"/>
    <n v="0"/>
    <n v="0.95"/>
    <n v="0"/>
    <n v="3"/>
    <n v="3"/>
    <n v="0"/>
  </r>
  <r>
    <x v="0"/>
    <s v="2025-06-18 23:52:34"/>
    <n v="3"/>
    <x v="2"/>
    <x v="4"/>
    <x v="2"/>
    <n v="0.10147907072585501"/>
    <n v="2E+20"/>
    <n v="0"/>
    <n v="4"/>
    <n v="0"/>
    <n v="0"/>
    <s v="Unnamed ProjectGise_Kap.QueueNumber WaitingQueue"/>
    <n v="15"/>
    <n v="3.5922440131245965E-2"/>
    <n v="2.6927906502440924E-2"/>
    <n v="0.95"/>
    <n v="1.4912177574036362E-2"/>
    <n v="1.73231027184055E-3"/>
    <n v="0.10147907072585501"/>
    <n v="1.4912177574036362E-2"/>
  </r>
  <r>
    <x v="0"/>
    <s v="2025-06-18 23:52:34"/>
    <n v="4"/>
    <x v="0"/>
    <x v="0"/>
    <x v="0"/>
    <n v="1.16174164051896"/>
    <n v="2E+20"/>
    <n v="0"/>
    <n v="4"/>
    <n v="2"/>
    <n v="0"/>
    <s v="Unnamed ProjectEntity 1WIPEntity"/>
    <n v="15"/>
    <n v="1.1020792054910398"/>
    <n v="0.1267802587228237"/>
    <n v="0.95"/>
    <n v="7.0208567115518081E-2"/>
    <n v="0.90784484322507997"/>
    <n v="1.41033627462843"/>
    <n v="7.0208567115518081E-2"/>
  </r>
  <r>
    <x v="0"/>
    <s v="2025-06-18 23:52:34"/>
    <n v="4"/>
    <x v="1"/>
    <x v="1"/>
    <x v="1"/>
    <n v="0.37697675535078001"/>
    <n v="2E+20"/>
    <n v="0"/>
    <n v="1"/>
    <n v="0.66666666666666696"/>
    <n v="0"/>
    <s v="Unnamed ProjectGiseInstantaneous UtilizationResource"/>
    <n v="15"/>
    <n v="0.35538558845326457"/>
    <n v="3.5995680767676695E-2"/>
    <n v="0.95"/>
    <n v="1.9933743585200864E-2"/>
    <n v="0.29520999449618501"/>
    <n v="0.43628573463419201"/>
    <n v="1.9933743585200864E-2"/>
  </r>
  <r>
    <x v="0"/>
    <s v="2025-06-18 23:52:34"/>
    <n v="4"/>
    <x v="1"/>
    <x v="2"/>
    <x v="1"/>
    <n v="1.1309302660523399"/>
    <n v="2E+20"/>
    <n v="0"/>
    <n v="3"/>
    <n v="2"/>
    <n v="0"/>
    <s v="Unnamed ProjectGiseNumber BusyResource"/>
    <n v="15"/>
    <n v="1.0661567653597936"/>
    <n v="0.10798704230303055"/>
    <n v="0.95"/>
    <n v="5.9801230755602848E-2"/>
    <n v="0.88562998348855504"/>
    <n v="1.3088572039025801"/>
    <n v="5.9801230755602848E-2"/>
  </r>
  <r>
    <x v="0"/>
    <s v="2025-06-18 23:52:34"/>
    <n v="4"/>
    <x v="1"/>
    <x v="3"/>
    <x v="1"/>
    <n v="3"/>
    <n v="2E+20"/>
    <n v="3"/>
    <n v="3"/>
    <n v="3"/>
    <n v="0"/>
    <s v="Unnamed ProjectGiseNumber ScheduledResource"/>
    <n v="15"/>
    <n v="3"/>
    <n v="0"/>
    <n v="0.95"/>
    <n v="0"/>
    <n v="3"/>
    <n v="3"/>
    <n v="0"/>
  </r>
  <r>
    <x v="0"/>
    <s v="2025-06-18 23:52:34"/>
    <n v="4"/>
    <x v="2"/>
    <x v="4"/>
    <x v="2"/>
    <n v="3.0811374466618E-2"/>
    <n v="2E+20"/>
    <n v="0"/>
    <n v="1"/>
    <n v="0"/>
    <n v="0"/>
    <s v="Unnamed ProjectGise_Kap.QueueNumber WaitingQueue"/>
    <n v="15"/>
    <n v="3.5922440131245965E-2"/>
    <n v="2.6927906502440924E-2"/>
    <n v="0.95"/>
    <n v="1.4912177574036362E-2"/>
    <n v="1.73231027184055E-3"/>
    <n v="0.10147907072585501"/>
    <n v="1.4912177574036362E-2"/>
  </r>
  <r>
    <x v="0"/>
    <s v="2025-06-18 23:52:34"/>
    <n v="5"/>
    <x v="0"/>
    <x v="0"/>
    <x v="0"/>
    <n v="1.15184477357851"/>
    <n v="2E+20"/>
    <n v="0"/>
    <n v="5"/>
    <n v="1"/>
    <n v="0"/>
    <s v="Unnamed ProjectEntity 1WIPEntity"/>
    <n v="15"/>
    <n v="1.1020792054910398"/>
    <n v="0.1267802587228237"/>
    <n v="0.95"/>
    <n v="7.0208567115518081E-2"/>
    <n v="0.90784484322507997"/>
    <n v="1.41033627462843"/>
    <n v="7.0208567115518081E-2"/>
  </r>
  <r>
    <x v="0"/>
    <s v="2025-06-18 23:52:34"/>
    <n v="5"/>
    <x v="1"/>
    <x v="1"/>
    <x v="1"/>
    <n v="0.372178956795646"/>
    <n v="2E+20"/>
    <n v="0"/>
    <n v="1"/>
    <n v="0.33333333333333298"/>
    <n v="0"/>
    <s v="Unnamed ProjectGiseInstantaneous UtilizationResource"/>
    <n v="15"/>
    <n v="0.35538558845326457"/>
    <n v="3.5995680767676695E-2"/>
    <n v="0.95"/>
    <n v="1.9933743585200864E-2"/>
    <n v="0.29520999449618501"/>
    <n v="0.43628573463419201"/>
    <n v="1.9933743585200864E-2"/>
  </r>
  <r>
    <x v="0"/>
    <s v="2025-06-18 23:52:34"/>
    <n v="5"/>
    <x v="1"/>
    <x v="2"/>
    <x v="1"/>
    <n v="1.1165368703869401"/>
    <n v="2E+20"/>
    <n v="0"/>
    <n v="3"/>
    <n v="1"/>
    <n v="0"/>
    <s v="Unnamed ProjectGiseNumber BusyResource"/>
    <n v="15"/>
    <n v="1.0661567653597936"/>
    <n v="0.10798704230303055"/>
    <n v="0.95"/>
    <n v="5.9801230755602848E-2"/>
    <n v="0.88562998348855504"/>
    <n v="1.3088572039025801"/>
    <n v="5.9801230755602848E-2"/>
  </r>
  <r>
    <x v="0"/>
    <s v="2025-06-18 23:52:34"/>
    <n v="5"/>
    <x v="1"/>
    <x v="3"/>
    <x v="1"/>
    <n v="3"/>
    <n v="2E+20"/>
    <n v="3"/>
    <n v="3"/>
    <n v="3"/>
    <n v="0"/>
    <s v="Unnamed ProjectGiseNumber ScheduledResource"/>
    <n v="15"/>
    <n v="3"/>
    <n v="0"/>
    <n v="0.95"/>
    <n v="0"/>
    <n v="3"/>
    <n v="3"/>
    <n v="0"/>
  </r>
  <r>
    <x v="0"/>
    <s v="2025-06-18 23:52:34"/>
    <n v="5"/>
    <x v="2"/>
    <x v="4"/>
    <x v="2"/>
    <n v="3.5307903191573703E-2"/>
    <n v="2E+20"/>
    <n v="0"/>
    <n v="2"/>
    <n v="0"/>
    <n v="0"/>
    <s v="Unnamed ProjectGise_Kap.QueueNumber WaitingQueue"/>
    <n v="15"/>
    <n v="3.5922440131245965E-2"/>
    <n v="2.6927906502440924E-2"/>
    <n v="0.95"/>
    <n v="1.4912177574036362E-2"/>
    <n v="1.73231027184055E-3"/>
    <n v="0.10147907072585501"/>
    <n v="1.4912177574036362E-2"/>
  </r>
  <r>
    <x v="0"/>
    <s v="2025-06-18 23:52:34"/>
    <n v="6"/>
    <x v="0"/>
    <x v="0"/>
    <x v="0"/>
    <n v="1.19951078180571"/>
    <n v="2E+20"/>
    <n v="0"/>
    <n v="7"/>
    <n v="0"/>
    <n v="0"/>
    <s v="Unnamed ProjectEntity 1WIPEntity"/>
    <n v="15"/>
    <n v="1.1020792054910398"/>
    <n v="0.1267802587228237"/>
    <n v="0.95"/>
    <n v="7.0208567115518081E-2"/>
    <n v="0.90784484322507997"/>
    <n v="1.41033627462843"/>
    <n v="7.0208567115518081E-2"/>
  </r>
  <r>
    <x v="0"/>
    <s v="2025-06-18 23:52:34"/>
    <n v="6"/>
    <x v="1"/>
    <x v="1"/>
    <x v="1"/>
    <n v="0.370655125955555"/>
    <n v="2E+20"/>
    <n v="0"/>
    <n v="1"/>
    <n v="0"/>
    <n v="0"/>
    <s v="Unnamed ProjectGiseInstantaneous UtilizationResource"/>
    <n v="15"/>
    <n v="0.35538558845326457"/>
    <n v="3.5995680767676695E-2"/>
    <n v="0.95"/>
    <n v="1.9933743585200864E-2"/>
    <n v="0.29520999449618501"/>
    <n v="0.43628573463419201"/>
    <n v="1.9933743585200864E-2"/>
  </r>
  <r>
    <x v="0"/>
    <s v="2025-06-18 23:52:34"/>
    <n v="6"/>
    <x v="1"/>
    <x v="2"/>
    <x v="1"/>
    <n v="1.11196537786667"/>
    <n v="2E+20"/>
    <n v="0"/>
    <n v="3"/>
    <n v="0"/>
    <n v="0"/>
    <s v="Unnamed ProjectGiseNumber BusyResource"/>
    <n v="15"/>
    <n v="1.0661567653597936"/>
    <n v="0.10798704230303055"/>
    <n v="0.95"/>
    <n v="5.9801230755602848E-2"/>
    <n v="0.88562998348855504"/>
    <n v="1.3088572039025801"/>
    <n v="5.9801230755602848E-2"/>
  </r>
  <r>
    <x v="0"/>
    <s v="2025-06-18 23:52:34"/>
    <n v="6"/>
    <x v="1"/>
    <x v="3"/>
    <x v="1"/>
    <n v="3"/>
    <n v="2E+20"/>
    <n v="3"/>
    <n v="3"/>
    <n v="3"/>
    <n v="0"/>
    <s v="Unnamed ProjectGiseNumber ScheduledResource"/>
    <n v="15"/>
    <n v="3"/>
    <n v="0"/>
    <n v="0.95"/>
    <n v="0"/>
    <n v="3"/>
    <n v="3"/>
    <n v="0"/>
  </r>
  <r>
    <x v="0"/>
    <s v="2025-06-18 23:52:34"/>
    <n v="6"/>
    <x v="2"/>
    <x v="4"/>
    <x v="2"/>
    <n v="8.7545403939046196E-2"/>
    <n v="2E+20"/>
    <n v="0"/>
    <n v="4"/>
    <n v="0"/>
    <n v="0"/>
    <s v="Unnamed ProjectGise_Kap.QueueNumber WaitingQueue"/>
    <n v="15"/>
    <n v="3.5922440131245965E-2"/>
    <n v="2.6927906502440924E-2"/>
    <n v="0.95"/>
    <n v="1.4912177574036362E-2"/>
    <n v="1.73231027184055E-3"/>
    <n v="0.10147907072585501"/>
    <n v="1.4912177574036362E-2"/>
  </r>
  <r>
    <x v="0"/>
    <s v="2025-06-18 23:52:34"/>
    <n v="7"/>
    <x v="0"/>
    <x v="0"/>
    <x v="0"/>
    <n v="1.1208592860647699"/>
    <n v="2E+20"/>
    <n v="0"/>
    <n v="4"/>
    <n v="0"/>
    <n v="0"/>
    <s v="Unnamed ProjectEntity 1WIPEntity"/>
    <n v="15"/>
    <n v="1.1020792054910398"/>
    <n v="0.1267802587228237"/>
    <n v="0.95"/>
    <n v="7.0208567115518081E-2"/>
    <n v="0.90784484322507997"/>
    <n v="1.41033627462843"/>
    <n v="7.0208567115518081E-2"/>
  </r>
  <r>
    <x v="0"/>
    <s v="2025-06-18 23:52:34"/>
    <n v="7"/>
    <x v="1"/>
    <x v="1"/>
    <x v="1"/>
    <n v="0.372030054993295"/>
    <n v="2E+20"/>
    <n v="0"/>
    <n v="1"/>
    <n v="0"/>
    <n v="0"/>
    <s v="Unnamed ProjectGiseInstantaneous UtilizationResource"/>
    <n v="15"/>
    <n v="0.35538558845326457"/>
    <n v="3.5995680767676695E-2"/>
    <n v="0.95"/>
    <n v="1.9933743585200864E-2"/>
    <n v="0.29520999449618501"/>
    <n v="0.43628573463419201"/>
    <n v="1.9933743585200864E-2"/>
  </r>
  <r>
    <x v="0"/>
    <s v="2025-06-18 23:52:34"/>
    <n v="7"/>
    <x v="1"/>
    <x v="2"/>
    <x v="1"/>
    <n v="1.11609016497988"/>
    <n v="2E+20"/>
    <n v="0"/>
    <n v="3"/>
    <n v="0"/>
    <n v="0"/>
    <s v="Unnamed ProjectGiseNumber BusyResource"/>
    <n v="15"/>
    <n v="1.0661567653597936"/>
    <n v="0.10798704230303055"/>
    <n v="0.95"/>
    <n v="5.9801230755602848E-2"/>
    <n v="0.88562998348855504"/>
    <n v="1.3088572039025801"/>
    <n v="5.9801230755602848E-2"/>
  </r>
  <r>
    <x v="0"/>
    <s v="2025-06-18 23:52:34"/>
    <n v="7"/>
    <x v="1"/>
    <x v="3"/>
    <x v="1"/>
    <n v="3"/>
    <n v="2E+20"/>
    <n v="3"/>
    <n v="3"/>
    <n v="3"/>
    <n v="0"/>
    <s v="Unnamed ProjectGiseNumber ScheduledResource"/>
    <n v="15"/>
    <n v="3"/>
    <n v="0"/>
    <n v="0.95"/>
    <n v="0"/>
    <n v="3"/>
    <n v="3"/>
    <n v="0"/>
  </r>
  <r>
    <x v="0"/>
    <s v="2025-06-18 23:52:34"/>
    <n v="7"/>
    <x v="2"/>
    <x v="4"/>
    <x v="2"/>
    <n v="4.7691210848848599E-3"/>
    <n v="2E+20"/>
    <n v="0"/>
    <n v="1"/>
    <n v="0"/>
    <n v="0"/>
    <s v="Unnamed ProjectGise_Kap.QueueNumber WaitingQueue"/>
    <n v="15"/>
    <n v="3.5922440131245965E-2"/>
    <n v="2.6927906502440924E-2"/>
    <n v="0.95"/>
    <n v="1.4912177574036362E-2"/>
    <n v="1.73231027184055E-3"/>
    <n v="0.10147907072585501"/>
    <n v="1.4912177574036362E-2"/>
  </r>
  <r>
    <x v="0"/>
    <s v="2025-06-18 23:52:34"/>
    <n v="8"/>
    <x v="0"/>
    <x v="0"/>
    <x v="0"/>
    <n v="0.94616912553697696"/>
    <n v="2E+20"/>
    <n v="0"/>
    <n v="4"/>
    <n v="1"/>
    <n v="0"/>
    <s v="Unnamed ProjectEntity 1WIPEntity"/>
    <n v="15"/>
    <n v="1.1020792054910398"/>
    <n v="0.1267802587228237"/>
    <n v="0.95"/>
    <n v="7.0208567115518081E-2"/>
    <n v="0.90784484322507997"/>
    <n v="1.41033627462843"/>
    <n v="7.0208567115518081E-2"/>
  </r>
  <r>
    <x v="0"/>
    <s v="2025-06-18 23:52:34"/>
    <n v="8"/>
    <x v="1"/>
    <x v="1"/>
    <x v="1"/>
    <n v="0.314812271755046"/>
    <n v="2E+20"/>
    <n v="0"/>
    <n v="1"/>
    <n v="0.33333333333333298"/>
    <n v="0"/>
    <s v="Unnamed ProjectGiseInstantaneous UtilizationResource"/>
    <n v="15"/>
    <n v="0.35538558845326457"/>
    <n v="3.5995680767676695E-2"/>
    <n v="0.95"/>
    <n v="1.9933743585200864E-2"/>
    <n v="0.29520999449618501"/>
    <n v="0.43628573463419201"/>
    <n v="1.9933743585200864E-2"/>
  </r>
  <r>
    <x v="0"/>
    <s v="2025-06-18 23:52:34"/>
    <n v="8"/>
    <x v="1"/>
    <x v="2"/>
    <x v="1"/>
    <n v="0.94443681526513601"/>
    <n v="2E+20"/>
    <n v="0"/>
    <n v="3"/>
    <n v="1"/>
    <n v="0"/>
    <s v="Unnamed ProjectGiseNumber BusyResource"/>
    <n v="15"/>
    <n v="1.0661567653597936"/>
    <n v="0.10798704230303055"/>
    <n v="0.95"/>
    <n v="5.9801230755602848E-2"/>
    <n v="0.88562998348855504"/>
    <n v="1.3088572039025801"/>
    <n v="5.9801230755602848E-2"/>
  </r>
  <r>
    <x v="0"/>
    <s v="2025-06-18 23:52:34"/>
    <n v="8"/>
    <x v="1"/>
    <x v="3"/>
    <x v="1"/>
    <n v="3"/>
    <n v="2E+20"/>
    <n v="3"/>
    <n v="3"/>
    <n v="3"/>
    <n v="0"/>
    <s v="Unnamed ProjectGiseNumber ScheduledResource"/>
    <n v="15"/>
    <n v="3"/>
    <n v="0"/>
    <n v="0.95"/>
    <n v="0"/>
    <n v="3"/>
    <n v="3"/>
    <n v="0"/>
  </r>
  <r>
    <x v="0"/>
    <s v="2025-06-18 23:52:34"/>
    <n v="8"/>
    <x v="2"/>
    <x v="4"/>
    <x v="2"/>
    <n v="1.73231027184055E-3"/>
    <n v="2E+20"/>
    <n v="0"/>
    <n v="1"/>
    <n v="0"/>
    <n v="0"/>
    <s v="Unnamed ProjectGise_Kap.QueueNumber WaitingQueue"/>
    <n v="15"/>
    <n v="3.5922440131245965E-2"/>
    <n v="2.6927906502440924E-2"/>
    <n v="0.95"/>
    <n v="1.4912177574036362E-2"/>
    <n v="1.73231027184055E-3"/>
    <n v="0.10147907072585501"/>
    <n v="1.4912177574036362E-2"/>
  </r>
  <r>
    <x v="0"/>
    <s v="2025-06-18 23:52:34"/>
    <n v="9"/>
    <x v="0"/>
    <x v="0"/>
    <x v="0"/>
    <n v="1.05617897015186"/>
    <n v="2E+20"/>
    <n v="0"/>
    <n v="5"/>
    <n v="1"/>
    <n v="0"/>
    <s v="Unnamed ProjectEntity 1WIPEntity"/>
    <n v="15"/>
    <n v="1.1020792054910398"/>
    <n v="0.1267802587228237"/>
    <n v="0.95"/>
    <n v="7.0208567115518081E-2"/>
    <n v="0.90784484322507997"/>
    <n v="1.41033627462843"/>
    <n v="7.0208567115518081E-2"/>
  </r>
  <r>
    <x v="0"/>
    <s v="2025-06-18 23:52:34"/>
    <n v="9"/>
    <x v="1"/>
    <x v="1"/>
    <x v="1"/>
    <n v="0.34665642788115703"/>
    <n v="2E+20"/>
    <n v="0"/>
    <n v="1"/>
    <n v="0.33333333333333298"/>
    <n v="0"/>
    <s v="Unnamed ProjectGiseInstantaneous UtilizationResource"/>
    <n v="15"/>
    <n v="0.35538558845326457"/>
    <n v="3.5995680767676695E-2"/>
    <n v="0.95"/>
    <n v="1.9933743585200864E-2"/>
    <n v="0.29520999449618501"/>
    <n v="0.43628573463419201"/>
    <n v="1.9933743585200864E-2"/>
  </r>
  <r>
    <x v="0"/>
    <s v="2025-06-18 23:52:34"/>
    <n v="9"/>
    <x v="1"/>
    <x v="2"/>
    <x v="1"/>
    <n v="1.03996928364347"/>
    <n v="2E+20"/>
    <n v="0"/>
    <n v="3"/>
    <n v="1"/>
    <n v="0"/>
    <s v="Unnamed ProjectGiseNumber BusyResource"/>
    <n v="15"/>
    <n v="1.0661567653597936"/>
    <n v="0.10798704230303055"/>
    <n v="0.95"/>
    <n v="5.9801230755602848E-2"/>
    <n v="0.88562998348855504"/>
    <n v="1.3088572039025801"/>
    <n v="5.9801230755602848E-2"/>
  </r>
  <r>
    <x v="0"/>
    <s v="2025-06-18 23:52:34"/>
    <n v="9"/>
    <x v="1"/>
    <x v="3"/>
    <x v="1"/>
    <n v="3"/>
    <n v="2E+20"/>
    <n v="3"/>
    <n v="3"/>
    <n v="3"/>
    <n v="0"/>
    <s v="Unnamed ProjectGiseNumber ScheduledResource"/>
    <n v="15"/>
    <n v="3"/>
    <n v="0"/>
    <n v="0.95"/>
    <n v="0"/>
    <n v="3"/>
    <n v="3"/>
    <n v="0"/>
  </r>
  <r>
    <x v="0"/>
    <s v="2025-06-18 23:52:34"/>
    <n v="9"/>
    <x v="2"/>
    <x v="4"/>
    <x v="2"/>
    <n v="1.62096865083841E-2"/>
    <n v="2E+20"/>
    <n v="0"/>
    <n v="2"/>
    <n v="0"/>
    <n v="0"/>
    <s v="Unnamed ProjectGise_Kap.QueueNumber WaitingQueue"/>
    <n v="15"/>
    <n v="3.5922440131245965E-2"/>
    <n v="2.6927906502440924E-2"/>
    <n v="0.95"/>
    <n v="1.4912177574036362E-2"/>
    <n v="1.73231027184055E-3"/>
    <n v="0.10147907072585501"/>
    <n v="1.4912177574036362E-2"/>
  </r>
  <r>
    <x v="0"/>
    <s v="2025-06-18 23:52:34"/>
    <n v="10"/>
    <x v="0"/>
    <x v="0"/>
    <x v="0"/>
    <n v="0.90784484322507997"/>
    <n v="2E+20"/>
    <n v="0"/>
    <n v="5"/>
    <n v="2"/>
    <n v="0"/>
    <s v="Unnamed ProjectEntity 1WIPEntity"/>
    <n v="15"/>
    <n v="1.1020792054910398"/>
    <n v="0.1267802587228237"/>
    <n v="0.95"/>
    <n v="7.0208567115518081E-2"/>
    <n v="0.90784484322507997"/>
    <n v="1.41033627462843"/>
    <n v="7.0208567115518081E-2"/>
  </r>
  <r>
    <x v="0"/>
    <s v="2025-06-18 23:52:34"/>
    <n v="10"/>
    <x v="1"/>
    <x v="1"/>
    <x v="1"/>
    <n v="0.29520999449618501"/>
    <n v="2E+20"/>
    <n v="0"/>
    <n v="1"/>
    <n v="0.66666666666666696"/>
    <n v="0"/>
    <s v="Unnamed ProjectGiseInstantaneous UtilizationResource"/>
    <n v="15"/>
    <n v="0.35538558845326457"/>
    <n v="3.5995680767676695E-2"/>
    <n v="0.95"/>
    <n v="1.9933743585200864E-2"/>
    <n v="0.29520999449618501"/>
    <n v="0.43628573463419201"/>
    <n v="1.9933743585200864E-2"/>
  </r>
  <r>
    <x v="0"/>
    <s v="2025-06-18 23:52:34"/>
    <n v="10"/>
    <x v="1"/>
    <x v="2"/>
    <x v="1"/>
    <n v="0.88562998348855504"/>
    <n v="2E+20"/>
    <n v="0"/>
    <n v="3"/>
    <n v="2"/>
    <n v="0"/>
    <s v="Unnamed ProjectGiseNumber BusyResource"/>
    <n v="15"/>
    <n v="1.0661567653597936"/>
    <n v="0.10798704230303055"/>
    <n v="0.95"/>
    <n v="5.9801230755602848E-2"/>
    <n v="0.88562998348855504"/>
    <n v="1.3088572039025801"/>
    <n v="5.9801230755602848E-2"/>
  </r>
  <r>
    <x v="0"/>
    <s v="2025-06-18 23:52:34"/>
    <n v="10"/>
    <x v="1"/>
    <x v="3"/>
    <x v="1"/>
    <n v="3"/>
    <n v="2E+20"/>
    <n v="3"/>
    <n v="3"/>
    <n v="3"/>
    <n v="0"/>
    <s v="Unnamed ProjectGiseNumber ScheduledResource"/>
    <n v="15"/>
    <n v="3"/>
    <n v="0"/>
    <n v="0.95"/>
    <n v="0"/>
    <n v="3"/>
    <n v="3"/>
    <n v="0"/>
  </r>
  <r>
    <x v="0"/>
    <s v="2025-06-18 23:52:34"/>
    <n v="10"/>
    <x v="2"/>
    <x v="4"/>
    <x v="2"/>
    <n v="2.2214859736524699E-2"/>
    <n v="2E+20"/>
    <n v="0"/>
    <n v="2"/>
    <n v="0"/>
    <n v="0"/>
    <s v="Unnamed ProjectGise_Kap.QueueNumber WaitingQueue"/>
    <n v="15"/>
    <n v="3.5922440131245965E-2"/>
    <n v="2.6927906502440924E-2"/>
    <n v="0.95"/>
    <n v="1.4912177574036362E-2"/>
    <n v="1.73231027184055E-3"/>
    <n v="0.10147907072585501"/>
    <n v="1.4912177574036362E-2"/>
  </r>
  <r>
    <x v="0"/>
    <s v="2025-06-18 23:52:34"/>
    <n v="11"/>
    <x v="0"/>
    <x v="0"/>
    <x v="0"/>
    <n v="1.11726710430828"/>
    <n v="2E+20"/>
    <n v="0"/>
    <n v="5"/>
    <n v="3"/>
    <n v="0"/>
    <s v="Unnamed ProjectEntity 1WIPEntity"/>
    <n v="15"/>
    <n v="1.1020792054910398"/>
    <n v="0.1267802587228237"/>
    <n v="0.95"/>
    <n v="7.0208567115518081E-2"/>
    <n v="0.90784484322507997"/>
    <n v="1.41033627462843"/>
    <n v="7.0208567115518081E-2"/>
  </r>
  <r>
    <x v="0"/>
    <s v="2025-06-18 23:52:34"/>
    <n v="11"/>
    <x v="1"/>
    <x v="1"/>
    <x v="1"/>
    <n v="0.36224787211192699"/>
    <n v="2E+20"/>
    <n v="0"/>
    <n v="1"/>
    <n v="1"/>
    <n v="0"/>
    <s v="Unnamed ProjectGiseInstantaneous UtilizationResource"/>
    <n v="15"/>
    <n v="0.35538558845326457"/>
    <n v="3.5995680767676695E-2"/>
    <n v="0.95"/>
    <n v="1.9933743585200864E-2"/>
    <n v="0.29520999449618501"/>
    <n v="0.43628573463419201"/>
    <n v="1.9933743585200864E-2"/>
  </r>
  <r>
    <x v="0"/>
    <s v="2025-06-18 23:52:34"/>
    <n v="11"/>
    <x v="1"/>
    <x v="2"/>
    <x v="1"/>
    <n v="1.08674361633578"/>
    <n v="2E+20"/>
    <n v="0"/>
    <n v="3"/>
    <n v="3"/>
    <n v="0"/>
    <s v="Unnamed ProjectGiseNumber BusyResource"/>
    <n v="15"/>
    <n v="1.0661567653597936"/>
    <n v="0.10798704230303055"/>
    <n v="0.95"/>
    <n v="5.9801230755602848E-2"/>
    <n v="0.88562998348855504"/>
    <n v="1.3088572039025801"/>
    <n v="5.9801230755602848E-2"/>
  </r>
  <r>
    <x v="0"/>
    <s v="2025-06-18 23:52:34"/>
    <n v="11"/>
    <x v="1"/>
    <x v="3"/>
    <x v="1"/>
    <n v="3"/>
    <n v="2E+20"/>
    <n v="3"/>
    <n v="3"/>
    <n v="3"/>
    <n v="0"/>
    <s v="Unnamed ProjectGiseNumber ScheduledResource"/>
    <n v="15"/>
    <n v="3"/>
    <n v="0"/>
    <n v="0.95"/>
    <n v="0"/>
    <n v="3"/>
    <n v="3"/>
    <n v="0"/>
  </r>
  <r>
    <x v="0"/>
    <s v="2025-06-18 23:52:34"/>
    <n v="11"/>
    <x v="2"/>
    <x v="4"/>
    <x v="2"/>
    <n v="3.0523487972493601E-2"/>
    <n v="2E+20"/>
    <n v="0"/>
    <n v="2"/>
    <n v="0"/>
    <n v="0"/>
    <s v="Unnamed ProjectGise_Kap.QueueNumber WaitingQueue"/>
    <n v="15"/>
    <n v="3.5922440131245965E-2"/>
    <n v="2.6927906502440924E-2"/>
    <n v="0.95"/>
    <n v="1.4912177574036362E-2"/>
    <n v="1.73231027184055E-3"/>
    <n v="0.10147907072585501"/>
    <n v="1.4912177574036362E-2"/>
  </r>
  <r>
    <x v="0"/>
    <s v="2025-06-18 23:52:34"/>
    <n v="12"/>
    <x v="0"/>
    <x v="0"/>
    <x v="0"/>
    <n v="0.966738810315107"/>
    <n v="2E+20"/>
    <n v="0"/>
    <n v="5"/>
    <n v="0"/>
    <n v="0"/>
    <s v="Unnamed ProjectEntity 1WIPEntity"/>
    <n v="15"/>
    <n v="1.1020792054910398"/>
    <n v="0.1267802587228237"/>
    <n v="0.95"/>
    <n v="7.0208567115518081E-2"/>
    <n v="0.90784484322507997"/>
    <n v="1.41033627462843"/>
    <n v="7.0208567115518081E-2"/>
  </r>
  <r>
    <x v="0"/>
    <s v="2025-06-18 23:52:34"/>
    <n v="12"/>
    <x v="1"/>
    <x v="1"/>
    <x v="1"/>
    <n v="0.30908648398812699"/>
    <n v="2E+20"/>
    <n v="0"/>
    <n v="1"/>
    <n v="0"/>
    <n v="0"/>
    <s v="Unnamed ProjectGiseInstantaneous UtilizationResource"/>
    <n v="15"/>
    <n v="0.35538558845326457"/>
    <n v="3.5995680767676695E-2"/>
    <n v="0.95"/>
    <n v="1.9933743585200864E-2"/>
    <n v="0.29520999449618501"/>
    <n v="0.43628573463419201"/>
    <n v="1.9933743585200864E-2"/>
  </r>
  <r>
    <x v="0"/>
    <s v="2025-06-18 23:52:34"/>
    <n v="12"/>
    <x v="1"/>
    <x v="2"/>
    <x v="1"/>
    <n v="0.92725945196438198"/>
    <n v="2E+20"/>
    <n v="0"/>
    <n v="3"/>
    <n v="0"/>
    <n v="0"/>
    <s v="Unnamed ProjectGiseNumber BusyResource"/>
    <n v="15"/>
    <n v="1.0661567653597936"/>
    <n v="0.10798704230303055"/>
    <n v="0.95"/>
    <n v="5.9801230755602848E-2"/>
    <n v="0.88562998348855504"/>
    <n v="1.3088572039025801"/>
    <n v="5.9801230755602848E-2"/>
  </r>
  <r>
    <x v="0"/>
    <s v="2025-06-18 23:52:34"/>
    <n v="12"/>
    <x v="1"/>
    <x v="3"/>
    <x v="1"/>
    <n v="3"/>
    <n v="2E+20"/>
    <n v="3"/>
    <n v="3"/>
    <n v="3"/>
    <n v="0"/>
    <s v="Unnamed ProjectGiseNumber ScheduledResource"/>
    <n v="15"/>
    <n v="3"/>
    <n v="0"/>
    <n v="0.95"/>
    <n v="0"/>
    <n v="3"/>
    <n v="3"/>
    <n v="0"/>
  </r>
  <r>
    <x v="0"/>
    <s v="2025-06-18 23:52:34"/>
    <n v="12"/>
    <x v="2"/>
    <x v="4"/>
    <x v="2"/>
    <n v="3.9479358350724601E-2"/>
    <n v="2E+20"/>
    <n v="0"/>
    <n v="2"/>
    <n v="0"/>
    <n v="0"/>
    <s v="Unnamed ProjectGise_Kap.QueueNumber WaitingQueue"/>
    <n v="15"/>
    <n v="3.5922440131245965E-2"/>
    <n v="2.6927906502440924E-2"/>
    <n v="0.95"/>
    <n v="1.4912177574036362E-2"/>
    <n v="1.73231027184055E-3"/>
    <n v="0.10147907072585501"/>
    <n v="1.4912177574036362E-2"/>
  </r>
  <r>
    <x v="0"/>
    <s v="2025-06-18 23:52:34"/>
    <n v="13"/>
    <x v="0"/>
    <x v="0"/>
    <x v="0"/>
    <n v="1.1335031087112499"/>
    <n v="2E+20"/>
    <n v="0"/>
    <n v="5"/>
    <n v="0"/>
    <n v="0"/>
    <s v="Unnamed ProjectEntity 1WIPEntity"/>
    <n v="15"/>
    <n v="1.1020792054910398"/>
    <n v="0.1267802587228237"/>
    <n v="0.95"/>
    <n v="7.0208567115518081E-2"/>
    <n v="0.90784484322507997"/>
    <n v="1.41033627462843"/>
    <n v="7.0208567115518081E-2"/>
  </r>
  <r>
    <x v="0"/>
    <s v="2025-06-18 23:52:34"/>
    <n v="13"/>
    <x v="1"/>
    <x v="1"/>
    <x v="1"/>
    <n v="0.36538851752745199"/>
    <n v="2E+20"/>
    <n v="0"/>
    <n v="1"/>
    <n v="0"/>
    <n v="0"/>
    <s v="Unnamed ProjectGiseInstantaneous UtilizationResource"/>
    <n v="15"/>
    <n v="0.35538558845326457"/>
    <n v="3.5995680767676695E-2"/>
    <n v="0.95"/>
    <n v="1.9933743585200864E-2"/>
    <n v="0.29520999449618501"/>
    <n v="0.43628573463419201"/>
    <n v="1.9933743585200864E-2"/>
  </r>
  <r>
    <x v="0"/>
    <s v="2025-06-18 23:52:34"/>
    <n v="13"/>
    <x v="1"/>
    <x v="2"/>
    <x v="1"/>
    <n v="1.0961655525823499"/>
    <n v="2E+20"/>
    <n v="0"/>
    <n v="3"/>
    <n v="0"/>
    <n v="0"/>
    <s v="Unnamed ProjectGiseNumber BusyResource"/>
    <n v="15"/>
    <n v="1.0661567653597936"/>
    <n v="0.10798704230303055"/>
    <n v="0.95"/>
    <n v="5.9801230755602848E-2"/>
    <n v="0.88562998348855504"/>
    <n v="1.3088572039025801"/>
    <n v="5.9801230755602848E-2"/>
  </r>
  <r>
    <x v="0"/>
    <s v="2025-06-18 23:52:34"/>
    <n v="13"/>
    <x v="1"/>
    <x v="3"/>
    <x v="1"/>
    <n v="3"/>
    <n v="2E+20"/>
    <n v="3"/>
    <n v="3"/>
    <n v="3"/>
    <n v="0"/>
    <s v="Unnamed ProjectGiseNumber ScheduledResource"/>
    <n v="15"/>
    <n v="3"/>
    <n v="0"/>
    <n v="0.95"/>
    <n v="0"/>
    <n v="3"/>
    <n v="3"/>
    <n v="0"/>
  </r>
  <r>
    <x v="0"/>
    <s v="2025-06-18 23:52:34"/>
    <n v="13"/>
    <x v="2"/>
    <x v="4"/>
    <x v="2"/>
    <n v="3.7337556128895201E-2"/>
    <n v="2E+20"/>
    <n v="0"/>
    <n v="2"/>
    <n v="0"/>
    <n v="0"/>
    <s v="Unnamed ProjectGise_Kap.QueueNumber WaitingQueue"/>
    <n v="15"/>
    <n v="3.5922440131245965E-2"/>
    <n v="2.6927906502440924E-2"/>
    <n v="0.95"/>
    <n v="1.4912177574036362E-2"/>
    <n v="1.73231027184055E-3"/>
    <n v="0.10147907072585501"/>
    <n v="1.4912177574036362E-2"/>
  </r>
  <r>
    <x v="0"/>
    <s v="2025-06-18 23:52:34"/>
    <n v="14"/>
    <x v="0"/>
    <x v="0"/>
    <x v="0"/>
    <n v="1.0796428748429301"/>
    <n v="2E+20"/>
    <n v="0"/>
    <n v="5"/>
    <n v="2"/>
    <n v="0"/>
    <s v="Unnamed ProjectEntity 1WIPEntity"/>
    <n v="15"/>
    <n v="1.1020792054910398"/>
    <n v="0.1267802587228237"/>
    <n v="0.95"/>
    <n v="7.0208567115518081E-2"/>
    <n v="0.90784484322507997"/>
    <n v="1.41033627462843"/>
    <n v="7.0208567115518081E-2"/>
  </r>
  <r>
    <x v="0"/>
    <s v="2025-06-18 23:52:34"/>
    <n v="14"/>
    <x v="1"/>
    <x v="1"/>
    <x v="1"/>
    <n v="0.348186854958833"/>
    <n v="2E+20"/>
    <n v="0"/>
    <n v="1"/>
    <n v="0.66666666666666696"/>
    <n v="0"/>
    <s v="Unnamed ProjectGiseInstantaneous UtilizationResource"/>
    <n v="15"/>
    <n v="0.35538558845326457"/>
    <n v="3.5995680767676695E-2"/>
    <n v="0.95"/>
    <n v="1.9933743585200864E-2"/>
    <n v="0.29520999449618501"/>
    <n v="0.43628573463419201"/>
    <n v="1.9933743585200864E-2"/>
  </r>
  <r>
    <x v="0"/>
    <s v="2025-06-18 23:52:34"/>
    <n v="14"/>
    <x v="1"/>
    <x v="2"/>
    <x v="1"/>
    <n v="1.0445605648765"/>
    <n v="2E+20"/>
    <n v="0"/>
    <n v="3"/>
    <n v="2"/>
    <n v="0"/>
    <s v="Unnamed ProjectGiseNumber BusyResource"/>
    <n v="15"/>
    <n v="1.0661567653597936"/>
    <n v="0.10798704230303055"/>
    <n v="0.95"/>
    <n v="5.9801230755602848E-2"/>
    <n v="0.88562998348855504"/>
    <n v="1.3088572039025801"/>
    <n v="5.9801230755602848E-2"/>
  </r>
  <r>
    <x v="0"/>
    <s v="2025-06-18 23:52:34"/>
    <n v="14"/>
    <x v="1"/>
    <x v="3"/>
    <x v="1"/>
    <n v="3"/>
    <n v="2E+20"/>
    <n v="3"/>
    <n v="3"/>
    <n v="3"/>
    <n v="0"/>
    <s v="Unnamed ProjectGiseNumber ScheduledResource"/>
    <n v="15"/>
    <n v="3"/>
    <n v="0"/>
    <n v="0.95"/>
    <n v="0"/>
    <n v="3"/>
    <n v="3"/>
    <n v="0"/>
  </r>
  <r>
    <x v="0"/>
    <s v="2025-06-18 23:52:34"/>
    <n v="14"/>
    <x v="2"/>
    <x v="4"/>
    <x v="2"/>
    <n v="3.5082309966434397E-2"/>
    <n v="2E+20"/>
    <n v="0"/>
    <n v="2"/>
    <n v="0"/>
    <n v="0"/>
    <s v="Unnamed ProjectGise_Kap.QueueNumber WaitingQueue"/>
    <n v="15"/>
    <n v="3.5922440131245965E-2"/>
    <n v="2.6927906502440924E-2"/>
    <n v="0.95"/>
    <n v="1.4912177574036362E-2"/>
    <n v="1.73231027184055E-3"/>
    <n v="0.10147907072585501"/>
    <n v="1.4912177574036362E-2"/>
  </r>
  <r>
    <x v="0"/>
    <s v="2025-06-18 23:52:34"/>
    <n v="15"/>
    <x v="0"/>
    <x v="0"/>
    <x v="0"/>
    <n v="0.98250035042253103"/>
    <n v="2E+20"/>
    <n v="0"/>
    <n v="5"/>
    <n v="1"/>
    <n v="0"/>
    <s v="Unnamed ProjectEntity 1WIPEntity"/>
    <n v="15"/>
    <n v="1.1020792054910398"/>
    <n v="0.1267802587228237"/>
    <n v="0.95"/>
    <n v="7.0208567115518081E-2"/>
    <n v="0.90784484322507997"/>
    <n v="1.41033627462843"/>
    <n v="7.0208567115518081E-2"/>
  </r>
  <r>
    <x v="0"/>
    <s v="2025-06-18 23:52:34"/>
    <n v="15"/>
    <x v="1"/>
    <x v="1"/>
    <x v="1"/>
    <n v="0.32155420871849999"/>
    <n v="2E+20"/>
    <n v="0"/>
    <n v="1"/>
    <n v="0.33333333333333298"/>
    <n v="0"/>
    <s v="Unnamed ProjectGiseInstantaneous UtilizationResource"/>
    <n v="15"/>
    <n v="0.35538558845326457"/>
    <n v="3.5995680767676695E-2"/>
    <n v="0.95"/>
    <n v="1.9933743585200864E-2"/>
    <n v="0.29520999449618501"/>
    <n v="0.43628573463419201"/>
    <n v="1.9933743585200864E-2"/>
  </r>
  <r>
    <x v="0"/>
    <s v="2025-06-18 23:52:34"/>
    <n v="15"/>
    <x v="1"/>
    <x v="2"/>
    <x v="1"/>
    <n v="0.96466262615550102"/>
    <n v="2E+20"/>
    <n v="0"/>
    <n v="3"/>
    <n v="1"/>
    <n v="0"/>
    <s v="Unnamed ProjectGiseNumber BusyResource"/>
    <n v="15"/>
    <n v="1.0661567653597936"/>
    <n v="0.10798704230303055"/>
    <n v="0.95"/>
    <n v="5.9801230755602848E-2"/>
    <n v="0.88562998348855504"/>
    <n v="1.3088572039025801"/>
    <n v="5.9801230755602848E-2"/>
  </r>
  <r>
    <x v="0"/>
    <s v="2025-06-18 23:52:34"/>
    <n v="15"/>
    <x v="1"/>
    <x v="3"/>
    <x v="1"/>
    <n v="3"/>
    <n v="2E+20"/>
    <n v="3"/>
    <n v="3"/>
    <n v="3"/>
    <n v="0"/>
    <s v="Unnamed ProjectGiseNumber ScheduledResource"/>
    <n v="15"/>
    <n v="3"/>
    <n v="0"/>
    <n v="0.95"/>
    <n v="0"/>
    <n v="3"/>
    <n v="3"/>
    <n v="0"/>
  </r>
  <r>
    <x v="0"/>
    <s v="2025-06-18 23:52:34"/>
    <n v="15"/>
    <x v="2"/>
    <x v="4"/>
    <x v="2"/>
    <n v="1.7837724267029401E-2"/>
    <n v="2E+20"/>
    <n v="0"/>
    <n v="2"/>
    <n v="0"/>
    <n v="0"/>
    <s v="Unnamed ProjectGise_Kap.QueueNumber WaitingQueue"/>
    <n v="15"/>
    <n v="3.5922440131245965E-2"/>
    <n v="2.6927906502440924E-2"/>
    <n v="0.95"/>
    <n v="1.4912177574036362E-2"/>
    <n v="1.73231027184055E-3"/>
    <n v="0.10147907072585501"/>
    <n v="1.4912177574036362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5">
  <r>
    <x v="0"/>
    <s v="2025-06-18 23:52:34"/>
    <n v="1"/>
    <x v="0"/>
    <x v="0"/>
    <x v="0"/>
    <n v="0"/>
    <n v="2E+20"/>
    <n v="0"/>
    <n v="0"/>
    <n v="89"/>
    <s v="Unnamed ProjectEntity 1N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1"/>
    <x v="0"/>
    <x v="1"/>
    <x v="0"/>
    <n v="5.6044026436086396"/>
    <n v="2E+20"/>
    <n v="2.2225743665801998"/>
    <n v="9.4718208232003995"/>
    <n v="89"/>
    <s v="Unnamed ProjectEntity 1Other TimeEntity"/>
    <n v="15"/>
    <n v="5.346138634385782"/>
    <n v="0.17610350587014989"/>
    <n v="0.95"/>
    <n v="9.7522870955749352E-2"/>
    <n v="5.0010572981560202"/>
    <n v="5.6044026436086396"/>
    <n v="2.2000089245025798"/>
    <n v="9.8782374302471094"/>
    <n v="95.2"/>
    <n v="9.7522870955749352E-2"/>
    <n v="15"/>
    <n v="1"/>
  </r>
  <r>
    <x v="0"/>
    <s v="2025-06-18 23:52:34"/>
    <n v="1"/>
    <x v="0"/>
    <x v="2"/>
    <x v="0"/>
    <n v="5.7884130403224496"/>
    <n v="2E+20"/>
    <n v="2.4472941910622699"/>
    <n v="12.1071326045513"/>
    <n v="89"/>
    <s v="Unnamed ProjectEntity 1Total TimeEntity"/>
    <n v="15"/>
    <n v="5.5213045410337314"/>
    <n v="0.21715140941682623"/>
    <n v="0.95"/>
    <n v="0.12025444225983377"/>
    <n v="5.1279993537933004"/>
    <n v="5.8751548496606301"/>
    <n v="2.2298426260786299"/>
    <n v="14.372657531026899"/>
    <n v="95.2"/>
    <n v="0.12025444225983377"/>
    <n v="15"/>
    <n v="1"/>
  </r>
  <r>
    <x v="0"/>
    <s v="2025-06-18 23:52:34"/>
    <n v="1"/>
    <x v="0"/>
    <x v="3"/>
    <x v="0"/>
    <n v="0"/>
    <n v="2E+20"/>
    <n v="0"/>
    <n v="0"/>
    <n v="89"/>
    <s v="Unnamed ProjectEntity 1Transfer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1"/>
    <x v="0"/>
    <x v="4"/>
    <x v="0"/>
    <n v="0"/>
    <n v="2E+20"/>
    <n v="0"/>
    <n v="0"/>
    <n v="89"/>
    <s v="Unnamed ProjectEntity 1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1"/>
    <x v="0"/>
    <x v="5"/>
    <x v="0"/>
    <n v="0.18401039671380801"/>
    <n v="2E+20"/>
    <n v="0"/>
    <n v="3.8121797026004698"/>
    <n v="89"/>
    <s v="Unnamed ProjectEntity 1Wait TimeEntity"/>
    <n v="15"/>
    <n v="0.17516590664795043"/>
    <n v="0.11837060628036969"/>
    <n v="0.95"/>
    <n v="6.5551456821911144E-2"/>
    <n v="1.02655423516477E-2"/>
    <n v="0.42879381521165499"/>
    <n v="0"/>
    <n v="7.1614883448111302"/>
    <n v="95.2"/>
    <n v="6.5551456821911144E-2"/>
    <n v="15"/>
    <n v="1"/>
  </r>
  <r>
    <x v="0"/>
    <s v="2025-06-18 23:52:34"/>
    <n v="2"/>
    <x v="0"/>
    <x v="0"/>
    <x v="0"/>
    <n v="0"/>
    <n v="2E+20"/>
    <n v="0"/>
    <n v="0"/>
    <n v="104"/>
    <s v="Unnamed ProjectEntity 1N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2"/>
    <x v="0"/>
    <x v="1"/>
    <x v="0"/>
    <n v="5.4433571356663801"/>
    <n v="2E+20"/>
    <n v="2.6239264001902098"/>
    <n v="9.8782374302471094"/>
    <n v="104"/>
    <s v="Unnamed ProjectEntity 1Other TimeEntity"/>
    <n v="15"/>
    <n v="5.346138634385782"/>
    <n v="0.17610350587014989"/>
    <n v="0.95"/>
    <n v="9.7522870955749352E-2"/>
    <n v="5.0010572981560202"/>
    <n v="5.6044026436086396"/>
    <n v="2.2000089245025798"/>
    <n v="9.8782374302471094"/>
    <n v="95.2"/>
    <n v="9.7522870955749352E-2"/>
    <n v="15"/>
    <n v="1"/>
  </r>
  <r>
    <x v="0"/>
    <s v="2025-06-18 23:52:34"/>
    <n v="2"/>
    <x v="0"/>
    <x v="2"/>
    <x v="0"/>
    <n v="5.6482240939788397"/>
    <n v="2E+20"/>
    <n v="2.6239264001902098"/>
    <n v="10.9518145818087"/>
    <n v="104"/>
    <s v="Unnamed ProjectEntity 1Total TimeEntity"/>
    <n v="15"/>
    <n v="5.5213045410337314"/>
    <n v="0.21715140941682623"/>
    <n v="0.95"/>
    <n v="0.12025444225983377"/>
    <n v="5.1279993537933004"/>
    <n v="5.8751548496606301"/>
    <n v="2.2298426260786299"/>
    <n v="14.372657531026899"/>
    <n v="95.2"/>
    <n v="0.12025444225983377"/>
    <n v="15"/>
    <n v="1"/>
  </r>
  <r>
    <x v="0"/>
    <s v="2025-06-18 23:52:34"/>
    <n v="2"/>
    <x v="0"/>
    <x v="3"/>
    <x v="0"/>
    <n v="0"/>
    <n v="2E+20"/>
    <n v="0"/>
    <n v="0"/>
    <n v="104"/>
    <s v="Unnamed ProjectEntity 1Transfer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2"/>
    <x v="0"/>
    <x v="4"/>
    <x v="0"/>
    <n v="0"/>
    <n v="2E+20"/>
    <n v="0"/>
    <n v="0"/>
    <n v="104"/>
    <s v="Unnamed ProjectEntity 1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2"/>
    <x v="0"/>
    <x v="5"/>
    <x v="0"/>
    <n v="0.20486695831246099"/>
    <n v="2E+20"/>
    <n v="0"/>
    <n v="4.6993026119143098"/>
    <n v="104"/>
    <s v="Unnamed ProjectEntity 1Wait TimeEntity"/>
    <n v="15"/>
    <n v="0.17516590664795043"/>
    <n v="0.11837060628036969"/>
    <n v="0.95"/>
    <n v="6.5551456821911144E-2"/>
    <n v="1.02655423516477E-2"/>
    <n v="0.42879381521165499"/>
    <n v="0"/>
    <n v="7.1614883448111302"/>
    <n v="95.2"/>
    <n v="6.5551456821911144E-2"/>
    <n v="15"/>
    <n v="1"/>
  </r>
  <r>
    <x v="0"/>
    <s v="2025-06-18 23:52:34"/>
    <n v="3"/>
    <x v="0"/>
    <x v="0"/>
    <x v="0"/>
    <n v="0"/>
    <n v="2E+20"/>
    <n v="0"/>
    <n v="0"/>
    <n v="116"/>
    <s v="Unnamed ProjectEntity 1N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3"/>
    <x v="0"/>
    <x v="1"/>
    <x v="0"/>
    <n v="5.4159608437347897"/>
    <n v="2E+20"/>
    <n v="2.2558259421986002"/>
    <n v="9.7774693638713792"/>
    <n v="116"/>
    <s v="Unnamed ProjectEntity 1Other TimeEntity"/>
    <n v="15"/>
    <n v="5.346138634385782"/>
    <n v="0.17610350587014989"/>
    <n v="0.95"/>
    <n v="9.7522870955749352E-2"/>
    <n v="5.0010572981560202"/>
    <n v="5.6044026436086396"/>
    <n v="2.2000089245025798"/>
    <n v="9.8782374302471094"/>
    <n v="95.2"/>
    <n v="9.7522870955749352E-2"/>
    <n v="15"/>
    <n v="1"/>
  </r>
  <r>
    <x v="0"/>
    <s v="2025-06-18 23:52:34"/>
    <n v="3"/>
    <x v="0"/>
    <x v="2"/>
    <x v="0"/>
    <n v="5.8358742398417798"/>
    <n v="2E+20"/>
    <n v="2.2558259421986002"/>
    <n v="13.166422710387399"/>
    <n v="116"/>
    <s v="Unnamed ProjectEntity 1Total TimeEntity"/>
    <n v="15"/>
    <n v="5.5213045410337314"/>
    <n v="0.21715140941682623"/>
    <n v="0.95"/>
    <n v="0.12025444225983377"/>
    <n v="5.1279993537933004"/>
    <n v="5.8751548496606301"/>
    <n v="2.2298426260786299"/>
    <n v="14.372657531026899"/>
    <n v="95.2"/>
    <n v="0.12025444225983377"/>
    <n v="15"/>
    <n v="1"/>
  </r>
  <r>
    <x v="0"/>
    <s v="2025-06-18 23:52:34"/>
    <n v="3"/>
    <x v="0"/>
    <x v="3"/>
    <x v="0"/>
    <n v="0"/>
    <n v="2E+20"/>
    <n v="0"/>
    <n v="0"/>
    <n v="116"/>
    <s v="Unnamed ProjectEntity 1Transfer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3"/>
    <x v="0"/>
    <x v="4"/>
    <x v="0"/>
    <n v="0"/>
    <n v="2E+20"/>
    <n v="0"/>
    <n v="0"/>
    <n v="116"/>
    <s v="Unnamed ProjectEntity 1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3"/>
    <x v="0"/>
    <x v="5"/>
    <x v="0"/>
    <n v="0.41991339610698702"/>
    <n v="2E+20"/>
    <n v="0"/>
    <n v="7.1614883448111302"/>
    <n v="116"/>
    <s v="Unnamed ProjectEntity 1Wait TimeEntity"/>
    <n v="15"/>
    <n v="0.17516590664795043"/>
    <n v="0.11837060628036969"/>
    <n v="0.95"/>
    <n v="6.5551456821911144E-2"/>
    <n v="1.02655423516477E-2"/>
    <n v="0.42879381521165499"/>
    <n v="0"/>
    <n v="7.1614883448111302"/>
    <n v="95.2"/>
    <n v="6.5551456821911144E-2"/>
    <n v="15"/>
    <n v="1"/>
  </r>
  <r>
    <x v="0"/>
    <s v="2025-06-18 23:52:34"/>
    <n v="4"/>
    <x v="0"/>
    <x v="0"/>
    <x v="0"/>
    <n v="0"/>
    <n v="2E+20"/>
    <n v="0"/>
    <n v="0"/>
    <n v="98"/>
    <s v="Unnamed ProjectEntity 1N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4"/>
    <x v="0"/>
    <x v="1"/>
    <x v="0"/>
    <n v="5.4692074573028204"/>
    <n v="2E+20"/>
    <n v="2.2706804444709401"/>
    <n v="9.4929680280656594"/>
    <n v="98"/>
    <s v="Unnamed ProjectEntity 1Other TimeEntity"/>
    <n v="15"/>
    <n v="5.346138634385782"/>
    <n v="0.17610350587014989"/>
    <n v="0.95"/>
    <n v="9.7522870955749352E-2"/>
    <n v="5.0010572981560202"/>
    <n v="5.6044026436086396"/>
    <n v="2.2000089245025798"/>
    <n v="9.8782374302471094"/>
    <n v="95.2"/>
    <n v="9.7522870955749352E-2"/>
    <n v="15"/>
    <n v="1"/>
  </r>
  <r>
    <x v="0"/>
    <s v="2025-06-18 23:52:34"/>
    <n v="4"/>
    <x v="0"/>
    <x v="2"/>
    <x v="0"/>
    <n v="5.6201203118331904"/>
    <n v="2E+20"/>
    <n v="2.2706804444709401"/>
    <n v="11.067132927698101"/>
    <n v="98"/>
    <s v="Unnamed ProjectEntity 1Total TimeEntity"/>
    <n v="15"/>
    <n v="5.5213045410337314"/>
    <n v="0.21715140941682623"/>
    <n v="0.95"/>
    <n v="0.12025444225983377"/>
    <n v="5.1279993537933004"/>
    <n v="5.8751548496606301"/>
    <n v="2.2298426260786299"/>
    <n v="14.372657531026899"/>
    <n v="95.2"/>
    <n v="0.12025444225983377"/>
    <n v="15"/>
    <n v="1"/>
  </r>
  <r>
    <x v="0"/>
    <s v="2025-06-18 23:52:34"/>
    <n v="4"/>
    <x v="0"/>
    <x v="3"/>
    <x v="0"/>
    <n v="0"/>
    <n v="2E+20"/>
    <n v="0"/>
    <n v="0"/>
    <n v="98"/>
    <s v="Unnamed ProjectEntity 1Transfer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4"/>
    <x v="0"/>
    <x v="4"/>
    <x v="0"/>
    <n v="0"/>
    <n v="2E+20"/>
    <n v="0"/>
    <n v="0"/>
    <n v="98"/>
    <s v="Unnamed ProjectEntity 1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4"/>
    <x v="0"/>
    <x v="5"/>
    <x v="0"/>
    <n v="0.15091285453037401"/>
    <n v="2E+20"/>
    <n v="0"/>
    <n v="3.3505131756219599"/>
    <n v="98"/>
    <s v="Unnamed ProjectEntity 1Wait TimeEntity"/>
    <n v="15"/>
    <n v="0.17516590664795043"/>
    <n v="0.11837060628036969"/>
    <n v="0.95"/>
    <n v="6.5551456821911144E-2"/>
    <n v="1.02655423516477E-2"/>
    <n v="0.42879381521165499"/>
    <n v="0"/>
    <n v="7.1614883448111302"/>
    <n v="95.2"/>
    <n v="6.5551456821911144E-2"/>
    <n v="15"/>
    <n v="1"/>
  </r>
  <r>
    <x v="0"/>
    <s v="2025-06-18 23:52:34"/>
    <n v="5"/>
    <x v="0"/>
    <x v="0"/>
    <x v="0"/>
    <n v="0"/>
    <n v="2E+20"/>
    <n v="0"/>
    <n v="0"/>
    <n v="104"/>
    <s v="Unnamed ProjectEntity 1N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5"/>
    <x v="0"/>
    <x v="1"/>
    <x v="0"/>
    <n v="5.0925344068067702"/>
    <n v="2E+20"/>
    <n v="2.28238695227921"/>
    <n v="9.2190963870103193"/>
    <n v="104"/>
    <s v="Unnamed ProjectEntity 1Other TimeEntity"/>
    <n v="15"/>
    <n v="5.346138634385782"/>
    <n v="0.17610350587014989"/>
    <n v="0.95"/>
    <n v="9.7522870955749352E-2"/>
    <n v="5.0010572981560202"/>
    <n v="5.6044026436086396"/>
    <n v="2.2000089245025798"/>
    <n v="9.8782374302471094"/>
    <n v="95.2"/>
    <n v="9.7522870955749352E-2"/>
    <n v="15"/>
    <n v="1"/>
  </r>
  <r>
    <x v="0"/>
    <s v="2025-06-18 23:52:34"/>
    <n v="5"/>
    <x v="0"/>
    <x v="2"/>
    <x v="0"/>
    <n v="5.2554939599986499"/>
    <n v="2E+20"/>
    <n v="2.28238695227921"/>
    <n v="10.8298566799933"/>
    <n v="104"/>
    <s v="Unnamed ProjectEntity 1Total TimeEntity"/>
    <n v="15"/>
    <n v="5.5213045410337314"/>
    <n v="0.21715140941682623"/>
    <n v="0.95"/>
    <n v="0.12025444225983377"/>
    <n v="5.1279993537933004"/>
    <n v="5.8751548496606301"/>
    <n v="2.2298426260786299"/>
    <n v="14.372657531026899"/>
    <n v="95.2"/>
    <n v="0.12025444225983377"/>
    <n v="15"/>
    <n v="1"/>
  </r>
  <r>
    <x v="0"/>
    <s v="2025-06-18 23:52:34"/>
    <n v="5"/>
    <x v="0"/>
    <x v="3"/>
    <x v="0"/>
    <n v="0"/>
    <n v="2E+20"/>
    <n v="0"/>
    <n v="0"/>
    <n v="104"/>
    <s v="Unnamed ProjectEntity 1Transfer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5"/>
    <x v="0"/>
    <x v="4"/>
    <x v="0"/>
    <n v="0"/>
    <n v="2E+20"/>
    <n v="0"/>
    <n v="0"/>
    <n v="104"/>
    <s v="Unnamed ProjectEntity 1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5"/>
    <x v="0"/>
    <x v="5"/>
    <x v="0"/>
    <n v="0.16295955319187899"/>
    <n v="2E+20"/>
    <n v="0"/>
    <n v="4.1168613064264701"/>
    <n v="104"/>
    <s v="Unnamed ProjectEntity 1Wait TimeEntity"/>
    <n v="15"/>
    <n v="0.17516590664795043"/>
    <n v="0.11837060628036969"/>
    <n v="0.95"/>
    <n v="6.5551456821911144E-2"/>
    <n v="1.02655423516477E-2"/>
    <n v="0.42879381521165499"/>
    <n v="0"/>
    <n v="7.1614883448111302"/>
    <n v="95.2"/>
    <n v="6.5551456821911144E-2"/>
    <n v="15"/>
    <n v="1"/>
  </r>
  <r>
    <x v="0"/>
    <s v="2025-06-18 23:52:34"/>
    <n v="6"/>
    <x v="0"/>
    <x v="0"/>
    <x v="0"/>
    <n v="0"/>
    <n v="2E+20"/>
    <n v="0"/>
    <n v="0"/>
    <n v="98"/>
    <s v="Unnamed ProjectEntity 1N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6"/>
    <x v="0"/>
    <x v="1"/>
    <x v="0"/>
    <n v="5.4463610344489801"/>
    <n v="2E+20"/>
    <n v="2.2000089245025798"/>
    <n v="9.6886988672720307"/>
    <n v="98"/>
    <s v="Unnamed ProjectEntity 1Other TimeEntity"/>
    <n v="15"/>
    <n v="5.346138634385782"/>
    <n v="0.17610350587014989"/>
    <n v="0.95"/>
    <n v="9.7522870955749352E-2"/>
    <n v="5.0010572981560202"/>
    <n v="5.6044026436086396"/>
    <n v="2.2000089245025798"/>
    <n v="9.8782374302471094"/>
    <n v="95.2"/>
    <n v="9.7522870955749352E-2"/>
    <n v="15"/>
    <n v="1"/>
  </r>
  <r>
    <x v="0"/>
    <s v="2025-06-18 23:52:34"/>
    <n v="6"/>
    <x v="0"/>
    <x v="2"/>
    <x v="0"/>
    <n v="5.8751548496606301"/>
    <n v="2E+20"/>
    <n v="2.30132873167463"/>
    <n v="14.372657531026899"/>
    <n v="98"/>
    <s v="Unnamed ProjectEntity 1Total TimeEntity"/>
    <n v="15"/>
    <n v="5.5213045410337314"/>
    <n v="0.21715140941682623"/>
    <n v="0.95"/>
    <n v="0.12025444225983377"/>
    <n v="5.1279993537933004"/>
    <n v="5.8751548496606301"/>
    <n v="2.2298426260786299"/>
    <n v="14.372657531026899"/>
    <n v="95.2"/>
    <n v="0.12025444225983377"/>
    <n v="15"/>
    <n v="1"/>
  </r>
  <r>
    <x v="0"/>
    <s v="2025-06-18 23:52:34"/>
    <n v="6"/>
    <x v="0"/>
    <x v="3"/>
    <x v="0"/>
    <n v="0"/>
    <n v="2E+20"/>
    <n v="0"/>
    <n v="0"/>
    <n v="98"/>
    <s v="Unnamed ProjectEntity 1Transfer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6"/>
    <x v="0"/>
    <x v="4"/>
    <x v="0"/>
    <n v="0"/>
    <n v="2E+20"/>
    <n v="0"/>
    <n v="0"/>
    <n v="98"/>
    <s v="Unnamed ProjectEntity 1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6"/>
    <x v="0"/>
    <x v="5"/>
    <x v="0"/>
    <n v="0.42879381521165499"/>
    <n v="2E+20"/>
    <n v="0"/>
    <n v="6.6688824954600499"/>
    <n v="98"/>
    <s v="Unnamed ProjectEntity 1Wait TimeEntity"/>
    <n v="15"/>
    <n v="0.17516590664795043"/>
    <n v="0.11837060628036969"/>
    <n v="0.95"/>
    <n v="6.5551456821911144E-2"/>
    <n v="1.02655423516477E-2"/>
    <n v="0.42879381521165499"/>
    <n v="0"/>
    <n v="7.1614883448111302"/>
    <n v="95.2"/>
    <n v="6.5551456821911144E-2"/>
    <n v="15"/>
    <n v="1"/>
  </r>
  <r>
    <x v="0"/>
    <s v="2025-06-18 23:52:34"/>
    <n v="7"/>
    <x v="0"/>
    <x v="0"/>
    <x v="0"/>
    <n v="0"/>
    <n v="2E+20"/>
    <n v="0"/>
    <n v="0"/>
    <n v="97"/>
    <s v="Unnamed ProjectEntity 1N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7"/>
    <x v="0"/>
    <x v="1"/>
    <x v="0"/>
    <n v="5.5229204040241697"/>
    <n v="2E+20"/>
    <n v="2.5899692254992002"/>
    <n v="9.3035942931456095"/>
    <n v="97"/>
    <s v="Unnamed ProjectEntity 1Other TimeEntity"/>
    <n v="15"/>
    <n v="5.346138634385782"/>
    <n v="0.17610350587014989"/>
    <n v="0.95"/>
    <n v="9.7522870955749352E-2"/>
    <n v="5.0010572981560202"/>
    <n v="5.6044026436086396"/>
    <n v="2.2000089245025798"/>
    <n v="9.8782374302471094"/>
    <n v="95.2"/>
    <n v="9.7522870955749352E-2"/>
    <n v="15"/>
    <n v="1"/>
  </r>
  <r>
    <x v="0"/>
    <s v="2025-06-18 23:52:34"/>
    <n v="7"/>
    <x v="0"/>
    <x v="2"/>
    <x v="0"/>
    <n v="5.5465201784648404"/>
    <n v="2E+20"/>
    <n v="2.5899692254992002"/>
    <n v="9.3035942931456095"/>
    <n v="97"/>
    <s v="Unnamed ProjectEntity 1Total TimeEntity"/>
    <n v="15"/>
    <n v="5.5213045410337314"/>
    <n v="0.21715140941682623"/>
    <n v="0.95"/>
    <n v="0.12025444225983377"/>
    <n v="5.1279993537933004"/>
    <n v="5.8751548496606301"/>
    <n v="2.2298426260786299"/>
    <n v="14.372657531026899"/>
    <n v="95.2"/>
    <n v="0.12025444225983377"/>
    <n v="15"/>
    <n v="1"/>
  </r>
  <r>
    <x v="0"/>
    <s v="2025-06-18 23:52:34"/>
    <n v="7"/>
    <x v="0"/>
    <x v="3"/>
    <x v="0"/>
    <n v="0"/>
    <n v="2E+20"/>
    <n v="0"/>
    <n v="0"/>
    <n v="97"/>
    <s v="Unnamed ProjectEntity 1Transfer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7"/>
    <x v="0"/>
    <x v="4"/>
    <x v="0"/>
    <n v="0"/>
    <n v="2E+20"/>
    <n v="0"/>
    <n v="0"/>
    <n v="97"/>
    <s v="Unnamed ProjectEntity 1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7"/>
    <x v="0"/>
    <x v="5"/>
    <x v="0"/>
    <n v="2.3599774440667302E-2"/>
    <n v="2E+20"/>
    <n v="0"/>
    <n v="1.81870565101076"/>
    <n v="97"/>
    <s v="Unnamed ProjectEntity 1Wait TimeEntity"/>
    <n v="15"/>
    <n v="0.17516590664795043"/>
    <n v="0.11837060628036969"/>
    <n v="0.95"/>
    <n v="6.5551456821911144E-2"/>
    <n v="1.02655423516477E-2"/>
    <n v="0.42879381521165499"/>
    <n v="0"/>
    <n v="7.1614883448111302"/>
    <n v="95.2"/>
    <n v="6.5551456821911144E-2"/>
    <n v="15"/>
    <n v="1"/>
  </r>
  <r>
    <x v="0"/>
    <s v="2025-06-18 23:52:34"/>
    <n v="8"/>
    <x v="0"/>
    <x v="0"/>
    <x v="0"/>
    <n v="0"/>
    <n v="2E+20"/>
    <n v="0"/>
    <n v="0"/>
    <n v="81"/>
    <s v="Unnamed ProjectEntity 1N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8"/>
    <x v="0"/>
    <x v="1"/>
    <x v="0"/>
    <n v="5.5810214695526899"/>
    <n v="2E+20"/>
    <n v="2.52070021711376"/>
    <n v="9.8209213806202094"/>
    <n v="81"/>
    <s v="Unnamed ProjectEntity 1Other TimeEntity"/>
    <n v="15"/>
    <n v="5.346138634385782"/>
    <n v="0.17610350587014989"/>
    <n v="0.95"/>
    <n v="9.7522870955749352E-2"/>
    <n v="5.0010572981560202"/>
    <n v="5.6044026436086396"/>
    <n v="2.2000089245025798"/>
    <n v="9.8782374302471094"/>
    <n v="95.2"/>
    <n v="9.7522870955749352E-2"/>
    <n v="15"/>
    <n v="1"/>
  </r>
  <r>
    <x v="0"/>
    <s v="2025-06-18 23:52:34"/>
    <n v="8"/>
    <x v="0"/>
    <x v="2"/>
    <x v="0"/>
    <n v="5.5912870119043303"/>
    <n v="2E+20"/>
    <n v="2.52070021711376"/>
    <n v="9.8209213806202094"/>
    <n v="81"/>
    <s v="Unnamed ProjectEntity 1Total TimeEntity"/>
    <n v="15"/>
    <n v="5.5213045410337314"/>
    <n v="0.21715140941682623"/>
    <n v="0.95"/>
    <n v="0.12025444225983377"/>
    <n v="5.1279993537933004"/>
    <n v="5.8751548496606301"/>
    <n v="2.2298426260786299"/>
    <n v="14.372657531026899"/>
    <n v="95.2"/>
    <n v="0.12025444225983377"/>
    <n v="15"/>
    <n v="1"/>
  </r>
  <r>
    <x v="0"/>
    <s v="2025-06-18 23:52:34"/>
    <n v="8"/>
    <x v="0"/>
    <x v="3"/>
    <x v="0"/>
    <n v="0"/>
    <n v="2E+20"/>
    <n v="0"/>
    <n v="0"/>
    <n v="81"/>
    <s v="Unnamed ProjectEntity 1Transfer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8"/>
    <x v="0"/>
    <x v="4"/>
    <x v="0"/>
    <n v="0"/>
    <n v="2E+20"/>
    <n v="0"/>
    <n v="0"/>
    <n v="81"/>
    <s v="Unnamed ProjectEntity 1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8"/>
    <x v="0"/>
    <x v="5"/>
    <x v="0"/>
    <n v="1.02655423516477E-2"/>
    <n v="2E+20"/>
    <n v="0"/>
    <n v="0.83150893048346597"/>
    <n v="81"/>
    <s v="Unnamed ProjectEntity 1Wait TimeEntity"/>
    <n v="15"/>
    <n v="0.17516590664795043"/>
    <n v="0.11837060628036969"/>
    <n v="0.95"/>
    <n v="6.5551456821911144E-2"/>
    <n v="1.02655423516477E-2"/>
    <n v="0.42879381521165499"/>
    <n v="0"/>
    <n v="7.1614883448111302"/>
    <n v="95.2"/>
    <n v="6.5551456821911144E-2"/>
    <n v="15"/>
    <n v="1"/>
  </r>
  <r>
    <x v="0"/>
    <s v="2025-06-18 23:52:34"/>
    <n v="9"/>
    <x v="0"/>
    <x v="0"/>
    <x v="0"/>
    <n v="0"/>
    <n v="2E+20"/>
    <n v="0"/>
    <n v="0"/>
    <n v="95"/>
    <s v="Unnamed ProjectEntity 1N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9"/>
    <x v="0"/>
    <x v="1"/>
    <x v="0"/>
    <n v="5.1754319819347296"/>
    <n v="2E+20"/>
    <n v="2.39356358058185"/>
    <n v="9.2356384892852894"/>
    <n v="95"/>
    <s v="Unnamed ProjectEntity 1Other TimeEntity"/>
    <n v="15"/>
    <n v="5.346138634385782"/>
    <n v="0.17610350587014989"/>
    <n v="0.95"/>
    <n v="9.7522870955749352E-2"/>
    <n v="5.0010572981560202"/>
    <n v="5.6044026436086396"/>
    <n v="2.2000089245025798"/>
    <n v="9.8782374302471094"/>
    <n v="95.2"/>
    <n v="9.7522870955749352E-2"/>
    <n v="15"/>
    <n v="1"/>
  </r>
  <r>
    <x v="0"/>
    <s v="2025-06-18 23:52:34"/>
    <n v="9"/>
    <x v="0"/>
    <x v="2"/>
    <x v="0"/>
    <n v="5.2573335558718304"/>
    <n v="2E+20"/>
    <n v="2.39356358058185"/>
    <n v="11.916921395942"/>
    <n v="95"/>
    <s v="Unnamed ProjectEntity 1Total TimeEntity"/>
    <n v="15"/>
    <n v="5.5213045410337314"/>
    <n v="0.21715140941682623"/>
    <n v="0.95"/>
    <n v="0.12025444225983377"/>
    <n v="5.1279993537933004"/>
    <n v="5.8751548496606301"/>
    <n v="2.2298426260786299"/>
    <n v="14.372657531026899"/>
    <n v="95.2"/>
    <n v="0.12025444225983377"/>
    <n v="15"/>
    <n v="1"/>
  </r>
  <r>
    <x v="0"/>
    <s v="2025-06-18 23:52:34"/>
    <n v="9"/>
    <x v="0"/>
    <x v="3"/>
    <x v="0"/>
    <n v="0"/>
    <n v="2E+20"/>
    <n v="0"/>
    <n v="0"/>
    <n v="95"/>
    <s v="Unnamed ProjectEntity 1Transfer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9"/>
    <x v="0"/>
    <x v="4"/>
    <x v="0"/>
    <n v="0"/>
    <n v="2E+20"/>
    <n v="0"/>
    <n v="0"/>
    <n v="95"/>
    <s v="Unnamed ProjectEntity 1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9"/>
    <x v="0"/>
    <x v="5"/>
    <x v="0"/>
    <n v="8.1901573937098404E-2"/>
    <n v="2E+20"/>
    <n v="0"/>
    <n v="3.0487620939600202"/>
    <n v="95"/>
    <s v="Unnamed ProjectEntity 1Wait TimeEntity"/>
    <n v="15"/>
    <n v="0.17516590664795043"/>
    <n v="0.11837060628036969"/>
    <n v="0.95"/>
    <n v="6.5551456821911144E-2"/>
    <n v="1.02655423516477E-2"/>
    <n v="0.42879381521165499"/>
    <n v="0"/>
    <n v="7.1614883448111302"/>
    <n v="95.2"/>
    <n v="6.5551456821911144E-2"/>
    <n v="15"/>
    <n v="1"/>
  </r>
  <r>
    <x v="0"/>
    <s v="2025-06-18 23:52:34"/>
    <n v="10"/>
    <x v="0"/>
    <x v="0"/>
    <x v="0"/>
    <n v="0"/>
    <n v="2E+20"/>
    <n v="0"/>
    <n v="0"/>
    <n v="84"/>
    <s v="Unnamed ProjectEntity 1N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10"/>
    <x v="0"/>
    <x v="1"/>
    <x v="0"/>
    <n v="5.0010572981560202"/>
    <n v="2E+20"/>
    <n v="2.3931462320291002"/>
    <n v="9.0930109103963304"/>
    <n v="84"/>
    <s v="Unnamed ProjectEntity 1Other TimeEntity"/>
    <n v="15"/>
    <n v="5.346138634385782"/>
    <n v="0.17610350587014989"/>
    <n v="0.95"/>
    <n v="9.7522870955749352E-2"/>
    <n v="5.0010572981560202"/>
    <n v="5.6044026436086396"/>
    <n v="2.2000089245025798"/>
    <n v="9.8782374302471094"/>
    <n v="95.2"/>
    <n v="9.7522870955749352E-2"/>
    <n v="15"/>
    <n v="1"/>
  </r>
  <r>
    <x v="0"/>
    <s v="2025-06-18 23:52:34"/>
    <n v="10"/>
    <x v="0"/>
    <x v="2"/>
    <x v="0"/>
    <n v="5.1279993537933004"/>
    <n v="2E+20"/>
    <n v="2.3931462320291002"/>
    <n v="9.2149230554156194"/>
    <n v="84"/>
    <s v="Unnamed ProjectEntity 1Total TimeEntity"/>
    <n v="15"/>
    <n v="5.5213045410337314"/>
    <n v="0.21715140941682623"/>
    <n v="0.95"/>
    <n v="0.12025444225983377"/>
    <n v="5.1279993537933004"/>
    <n v="5.8751548496606301"/>
    <n v="2.2298426260786299"/>
    <n v="14.372657531026899"/>
    <n v="95.2"/>
    <n v="0.12025444225983377"/>
    <n v="15"/>
    <n v="1"/>
  </r>
  <r>
    <x v="0"/>
    <s v="2025-06-18 23:52:34"/>
    <n v="10"/>
    <x v="0"/>
    <x v="3"/>
    <x v="0"/>
    <n v="0"/>
    <n v="2E+20"/>
    <n v="0"/>
    <n v="0"/>
    <n v="84"/>
    <s v="Unnamed ProjectEntity 1Transfer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10"/>
    <x v="0"/>
    <x v="4"/>
    <x v="0"/>
    <n v="0"/>
    <n v="2E+20"/>
    <n v="0"/>
    <n v="0"/>
    <n v="84"/>
    <s v="Unnamed ProjectEntity 1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10"/>
    <x v="0"/>
    <x v="5"/>
    <x v="0"/>
    <n v="0.126942055637284"/>
    <n v="2E+20"/>
    <n v="0"/>
    <n v="3.1238390572310899"/>
    <n v="84"/>
    <s v="Unnamed ProjectEntity 1Wait TimeEntity"/>
    <n v="15"/>
    <n v="0.17516590664795043"/>
    <n v="0.11837060628036969"/>
    <n v="0.95"/>
    <n v="6.5551456821911144E-2"/>
    <n v="1.02655423516477E-2"/>
    <n v="0.42879381521165499"/>
    <n v="0"/>
    <n v="7.1614883448111302"/>
    <n v="95.2"/>
    <n v="6.5551456821911144E-2"/>
    <n v="15"/>
    <n v="1"/>
  </r>
  <r>
    <x v="0"/>
    <s v="2025-06-18 23:52:34"/>
    <n v="11"/>
    <x v="0"/>
    <x v="0"/>
    <x v="0"/>
    <n v="0"/>
    <n v="2E+20"/>
    <n v="0"/>
    <n v="0"/>
    <n v="99"/>
    <s v="Unnamed ProjectEntity 1N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11"/>
    <x v="0"/>
    <x v="1"/>
    <x v="0"/>
    <n v="5.2104779587241001"/>
    <n v="2E+20"/>
    <n v="2.2298426260786299"/>
    <n v="9.0522100587447802"/>
    <n v="99"/>
    <s v="Unnamed ProjectEntity 1Other TimeEntity"/>
    <n v="15"/>
    <n v="5.346138634385782"/>
    <n v="0.17610350587014989"/>
    <n v="0.95"/>
    <n v="9.7522870955749352E-2"/>
    <n v="5.0010572981560202"/>
    <n v="5.6044026436086396"/>
    <n v="2.2000089245025798"/>
    <n v="9.8782374302471094"/>
    <n v="95.2"/>
    <n v="9.7522870955749352E-2"/>
    <n v="15"/>
    <n v="1"/>
  </r>
  <r>
    <x v="0"/>
    <s v="2025-06-18 23:52:34"/>
    <n v="11"/>
    <x v="0"/>
    <x v="2"/>
    <x v="0"/>
    <n v="5.3584706276816503"/>
    <n v="2E+20"/>
    <n v="2.2298426260786299"/>
    <n v="11.464209052197001"/>
    <n v="99"/>
    <s v="Unnamed ProjectEntity 1Total TimeEntity"/>
    <n v="15"/>
    <n v="5.5213045410337314"/>
    <n v="0.21715140941682623"/>
    <n v="0.95"/>
    <n v="0.12025444225983377"/>
    <n v="5.1279993537933004"/>
    <n v="5.8751548496606301"/>
    <n v="2.2298426260786299"/>
    <n v="14.372657531026899"/>
    <n v="95.2"/>
    <n v="0.12025444225983377"/>
    <n v="15"/>
    <n v="1"/>
  </r>
  <r>
    <x v="0"/>
    <s v="2025-06-18 23:52:34"/>
    <n v="11"/>
    <x v="0"/>
    <x v="3"/>
    <x v="0"/>
    <n v="0"/>
    <n v="2E+20"/>
    <n v="0"/>
    <n v="0"/>
    <n v="99"/>
    <s v="Unnamed ProjectEntity 1Transfer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11"/>
    <x v="0"/>
    <x v="4"/>
    <x v="0"/>
    <n v="0"/>
    <n v="2E+20"/>
    <n v="0"/>
    <n v="0"/>
    <n v="99"/>
    <s v="Unnamed ProjectEntity 1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11"/>
    <x v="0"/>
    <x v="5"/>
    <x v="0"/>
    <n v="0.14799266895754501"/>
    <n v="2E+20"/>
    <n v="0"/>
    <n v="3.87276389842603"/>
    <n v="99"/>
    <s v="Unnamed ProjectEntity 1Wait TimeEntity"/>
    <n v="15"/>
    <n v="0.17516590664795043"/>
    <n v="0.11837060628036969"/>
    <n v="0.95"/>
    <n v="6.5551456821911144E-2"/>
    <n v="1.02655423516477E-2"/>
    <n v="0.42879381521165499"/>
    <n v="0"/>
    <n v="7.1614883448111302"/>
    <n v="95.2"/>
    <n v="6.5551456821911144E-2"/>
    <n v="15"/>
    <n v="1"/>
  </r>
  <r>
    <x v="0"/>
    <s v="2025-06-18 23:52:34"/>
    <n v="12"/>
    <x v="0"/>
    <x v="0"/>
    <x v="0"/>
    <n v="0"/>
    <n v="2E+20"/>
    <n v="0"/>
    <n v="0"/>
    <n v="84"/>
    <s v="Unnamed ProjectEntity 1N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12"/>
    <x v="0"/>
    <x v="1"/>
    <x v="0"/>
    <n v="5.2986254397964698"/>
    <n v="2E+20"/>
    <n v="2.2531658295475299"/>
    <n v="9.4526237641989006"/>
    <n v="84"/>
    <s v="Unnamed ProjectEntity 1Other TimeEntity"/>
    <n v="15"/>
    <n v="5.346138634385782"/>
    <n v="0.17610350587014989"/>
    <n v="0.95"/>
    <n v="9.7522870955749352E-2"/>
    <n v="5.0010572981560202"/>
    <n v="5.6044026436086396"/>
    <n v="2.2000089245025798"/>
    <n v="9.8782374302471094"/>
    <n v="95.2"/>
    <n v="9.7522870955749352E-2"/>
    <n v="15"/>
    <n v="1"/>
  </r>
  <r>
    <x v="0"/>
    <s v="2025-06-18 23:52:34"/>
    <n v="12"/>
    <x v="0"/>
    <x v="2"/>
    <x v="0"/>
    <n v="5.5242217732291801"/>
    <n v="2E+20"/>
    <n v="2.2531658295475299"/>
    <n v="9.4526237641989006"/>
    <n v="84"/>
    <s v="Unnamed ProjectEntity 1Total TimeEntity"/>
    <n v="15"/>
    <n v="5.5213045410337314"/>
    <n v="0.21715140941682623"/>
    <n v="0.95"/>
    <n v="0.12025444225983377"/>
    <n v="5.1279993537933004"/>
    <n v="5.8751548496606301"/>
    <n v="2.2298426260786299"/>
    <n v="14.372657531026899"/>
    <n v="95.2"/>
    <n v="0.12025444225983377"/>
    <n v="15"/>
    <n v="1"/>
  </r>
  <r>
    <x v="0"/>
    <s v="2025-06-18 23:52:34"/>
    <n v="12"/>
    <x v="0"/>
    <x v="3"/>
    <x v="0"/>
    <n v="0"/>
    <n v="2E+20"/>
    <n v="0"/>
    <n v="0"/>
    <n v="84"/>
    <s v="Unnamed ProjectEntity 1Transfer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12"/>
    <x v="0"/>
    <x v="4"/>
    <x v="0"/>
    <n v="0"/>
    <n v="2E+20"/>
    <n v="0"/>
    <n v="0"/>
    <n v="84"/>
    <s v="Unnamed ProjectEntity 1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12"/>
    <x v="0"/>
    <x v="5"/>
    <x v="0"/>
    <n v="0.22559633343271199"/>
    <n v="2E+20"/>
    <n v="0"/>
    <n v="4.0476584304148"/>
    <n v="84"/>
    <s v="Unnamed ProjectEntity 1Wait TimeEntity"/>
    <n v="15"/>
    <n v="0.17516590664795043"/>
    <n v="0.11837060628036969"/>
    <n v="0.95"/>
    <n v="6.5551456821911144E-2"/>
    <n v="1.02655423516477E-2"/>
    <n v="0.42879381521165499"/>
    <n v="0"/>
    <n v="7.1614883448111302"/>
    <n v="95.2"/>
    <n v="6.5551456821911144E-2"/>
    <n v="15"/>
    <n v="1"/>
  </r>
  <r>
    <x v="0"/>
    <s v="2025-06-18 23:52:34"/>
    <n v="13"/>
    <x v="0"/>
    <x v="0"/>
    <x v="0"/>
    <n v="0"/>
    <n v="2E+20"/>
    <n v="0"/>
    <n v="0"/>
    <n v="99"/>
    <s v="Unnamed ProjectEntity 1N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13"/>
    <x v="0"/>
    <x v="1"/>
    <x v="0"/>
    <n v="5.3147420731265704"/>
    <n v="2E+20"/>
    <n v="2.3723759075102699"/>
    <n v="9.5016744486604807"/>
    <n v="99"/>
    <s v="Unnamed ProjectEntity 1Other TimeEntity"/>
    <n v="15"/>
    <n v="5.346138634385782"/>
    <n v="0.17610350587014989"/>
    <n v="0.95"/>
    <n v="9.7522870955749352E-2"/>
    <n v="5.0010572981560202"/>
    <n v="5.6044026436086396"/>
    <n v="2.2000089245025798"/>
    <n v="9.8782374302471094"/>
    <n v="95.2"/>
    <n v="9.7522870955749352E-2"/>
    <n v="15"/>
    <n v="1"/>
  </r>
  <r>
    <x v="0"/>
    <s v="2025-06-18 23:52:34"/>
    <n v="13"/>
    <x v="0"/>
    <x v="2"/>
    <x v="0"/>
    <n v="5.4957726482969598"/>
    <n v="2E+20"/>
    <n v="2.3723759075102699"/>
    <n v="13.165606970847801"/>
    <n v="99"/>
    <s v="Unnamed ProjectEntity 1Total TimeEntity"/>
    <n v="15"/>
    <n v="5.5213045410337314"/>
    <n v="0.21715140941682623"/>
    <n v="0.95"/>
    <n v="0.12025444225983377"/>
    <n v="5.1279993537933004"/>
    <n v="5.8751548496606301"/>
    <n v="2.2298426260786299"/>
    <n v="14.372657531026899"/>
    <n v="95.2"/>
    <n v="0.12025444225983377"/>
    <n v="15"/>
    <n v="1"/>
  </r>
  <r>
    <x v="0"/>
    <s v="2025-06-18 23:52:34"/>
    <n v="13"/>
    <x v="0"/>
    <x v="3"/>
    <x v="0"/>
    <n v="0"/>
    <n v="2E+20"/>
    <n v="0"/>
    <n v="0"/>
    <n v="99"/>
    <s v="Unnamed ProjectEntity 1Transfer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13"/>
    <x v="0"/>
    <x v="4"/>
    <x v="0"/>
    <n v="0"/>
    <n v="2E+20"/>
    <n v="0"/>
    <n v="0"/>
    <n v="99"/>
    <s v="Unnamed ProjectEntity 1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13"/>
    <x v="0"/>
    <x v="5"/>
    <x v="0"/>
    <n v="0.181030575170401"/>
    <n v="2E+20"/>
    <n v="0"/>
    <n v="4.2487530466776704"/>
    <n v="99"/>
    <s v="Unnamed ProjectEntity 1Wait TimeEntity"/>
    <n v="15"/>
    <n v="0.17516590664795043"/>
    <n v="0.11837060628036969"/>
    <n v="0.95"/>
    <n v="6.5551456821911144E-2"/>
    <n v="1.02655423516477E-2"/>
    <n v="0.42879381521165499"/>
    <n v="0"/>
    <n v="7.1614883448111302"/>
    <n v="95.2"/>
    <n v="6.5551456821911144E-2"/>
    <n v="15"/>
    <n v="1"/>
  </r>
  <r>
    <x v="0"/>
    <s v="2025-06-18 23:52:34"/>
    <n v="14"/>
    <x v="0"/>
    <x v="0"/>
    <x v="0"/>
    <n v="0"/>
    <n v="2E+20"/>
    <n v="0"/>
    <n v="0"/>
    <n v="94"/>
    <s v="Unnamed ProjectEntity 1N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14"/>
    <x v="0"/>
    <x v="1"/>
    <x v="0"/>
    <n v="5.2608706855618799"/>
    <n v="2E+20"/>
    <n v="2.61778929194509"/>
    <n v="9.31819649903764"/>
    <n v="94"/>
    <s v="Unnamed ProjectEntity 1Other TimeEntity"/>
    <n v="15"/>
    <n v="5.346138634385782"/>
    <n v="0.17610350587014989"/>
    <n v="0.95"/>
    <n v="9.7522870955749352E-2"/>
    <n v="5.0010572981560202"/>
    <n v="5.6044026436086396"/>
    <n v="2.2000089245025798"/>
    <n v="9.8782374302471094"/>
    <n v="95.2"/>
    <n v="9.7522870955749352E-2"/>
    <n v="15"/>
    <n v="1"/>
  </r>
  <r>
    <x v="0"/>
    <s v="2025-06-18 23:52:34"/>
    <n v="14"/>
    <x v="0"/>
    <x v="2"/>
    <x v="0"/>
    <n v="5.4400143960287801"/>
    <n v="2E+20"/>
    <n v="2.61778929194509"/>
    <n v="9.31819649903764"/>
    <n v="94"/>
    <s v="Unnamed ProjectEntity 1Total TimeEntity"/>
    <n v="15"/>
    <n v="5.5213045410337314"/>
    <n v="0.21715140941682623"/>
    <n v="0.95"/>
    <n v="0.12025444225983377"/>
    <n v="5.1279993537933004"/>
    <n v="5.8751548496606301"/>
    <n v="2.2298426260786299"/>
    <n v="14.372657531026899"/>
    <n v="95.2"/>
    <n v="0.12025444225983377"/>
    <n v="15"/>
    <n v="1"/>
  </r>
  <r>
    <x v="0"/>
    <s v="2025-06-18 23:52:34"/>
    <n v="14"/>
    <x v="0"/>
    <x v="3"/>
    <x v="0"/>
    <n v="0"/>
    <n v="2E+20"/>
    <n v="0"/>
    <n v="0"/>
    <n v="94"/>
    <s v="Unnamed ProjectEntity 1Transfer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14"/>
    <x v="0"/>
    <x v="4"/>
    <x v="0"/>
    <n v="0"/>
    <n v="2E+20"/>
    <n v="0"/>
    <n v="0"/>
    <n v="94"/>
    <s v="Unnamed ProjectEntity 1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14"/>
    <x v="0"/>
    <x v="5"/>
    <x v="0"/>
    <n v="0.179143710466899"/>
    <n v="2E+20"/>
    <n v="0"/>
    <n v="2.5116925185140202"/>
    <n v="94"/>
    <s v="Unnamed ProjectEntity 1Wait TimeEntity"/>
    <n v="15"/>
    <n v="0.17516590664795043"/>
    <n v="0.11837060628036969"/>
    <n v="0.95"/>
    <n v="6.5551456821911144E-2"/>
    <n v="1.02655423516477E-2"/>
    <n v="0.42879381521165499"/>
    <n v="0"/>
    <n v="7.1614883448111302"/>
    <n v="95.2"/>
    <n v="6.5551456821911144E-2"/>
    <n v="15"/>
    <n v="1"/>
  </r>
  <r>
    <x v="0"/>
    <s v="2025-06-18 23:52:34"/>
    <n v="15"/>
    <x v="0"/>
    <x v="0"/>
    <x v="0"/>
    <n v="0"/>
    <n v="2E+20"/>
    <n v="0"/>
    <n v="0"/>
    <n v="86"/>
    <s v="Unnamed ProjectEntity 1N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15"/>
    <x v="0"/>
    <x v="1"/>
    <x v="0"/>
    <n v="5.3551086833417196"/>
    <n v="2E+20"/>
    <n v="2.61302199900378"/>
    <n v="9.6510214631644509"/>
    <n v="86"/>
    <s v="Unnamed ProjectEntity 1Other TimeEntity"/>
    <n v="15"/>
    <n v="5.346138634385782"/>
    <n v="0.17610350587014989"/>
    <n v="0.95"/>
    <n v="9.7522870955749352E-2"/>
    <n v="5.0010572981560202"/>
    <n v="5.6044026436086396"/>
    <n v="2.2000089245025798"/>
    <n v="9.8782374302471094"/>
    <n v="95.2"/>
    <n v="9.7522870955749352E-2"/>
    <n v="15"/>
    <n v="1"/>
  </r>
  <r>
    <x v="0"/>
    <s v="2025-06-18 23:52:34"/>
    <n v="15"/>
    <x v="0"/>
    <x v="2"/>
    <x v="0"/>
    <n v="5.4546680745995504"/>
    <n v="2E+20"/>
    <n v="2.61302199900378"/>
    <n v="12.598106638146801"/>
    <n v="86"/>
    <s v="Unnamed ProjectEntity 1Total TimeEntity"/>
    <n v="15"/>
    <n v="5.5213045410337314"/>
    <n v="0.21715140941682623"/>
    <n v="0.95"/>
    <n v="0.12025444225983377"/>
    <n v="5.1279993537933004"/>
    <n v="5.8751548496606301"/>
    <n v="2.2298426260786299"/>
    <n v="14.372657531026899"/>
    <n v="95.2"/>
    <n v="0.12025444225983377"/>
    <n v="15"/>
    <n v="1"/>
  </r>
  <r>
    <x v="0"/>
    <s v="2025-06-18 23:52:34"/>
    <n v="15"/>
    <x v="0"/>
    <x v="3"/>
    <x v="0"/>
    <n v="0"/>
    <n v="2E+20"/>
    <n v="0"/>
    <n v="0"/>
    <n v="86"/>
    <s v="Unnamed ProjectEntity 1Transfer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15"/>
    <x v="0"/>
    <x v="4"/>
    <x v="0"/>
    <n v="0"/>
    <n v="2E+20"/>
    <n v="0"/>
    <n v="0"/>
    <n v="86"/>
    <s v="Unnamed ProjectEntity 1VA TimeEntity"/>
    <n v="15"/>
    <n v="0"/>
    <n v="0"/>
    <n v="0.95"/>
    <n v="0"/>
    <n v="0"/>
    <n v="0"/>
    <n v="0"/>
    <n v="0"/>
    <n v="95.2"/>
    <n v="0"/>
    <n v="15"/>
    <n v="1"/>
  </r>
  <r>
    <x v="0"/>
    <s v="2025-06-18 23:52:34"/>
    <n v="15"/>
    <x v="0"/>
    <x v="5"/>
    <x v="0"/>
    <n v="9.9559391257838498E-2"/>
    <n v="2E+20"/>
    <n v="0"/>
    <n v="3.4622521247683302"/>
    <n v="86"/>
    <s v="Unnamed ProjectEntity 1Wait TimeEntity"/>
    <n v="15"/>
    <n v="0.17516590664795043"/>
    <n v="0.11837060628036969"/>
    <n v="0.95"/>
    <n v="6.5551456821911144E-2"/>
    <n v="1.02655423516477E-2"/>
    <n v="0.42879381521165499"/>
    <n v="0"/>
    <n v="7.1614883448111302"/>
    <n v="95.2"/>
    <n v="6.5551456821911144E-2"/>
    <n v="15"/>
    <n v="1"/>
  </r>
  <r>
    <x v="0"/>
    <s v="2025-06-18 23:52:34"/>
    <n v="1"/>
    <x v="1"/>
    <x v="6"/>
    <x v="1"/>
    <n v="0.18401039671380801"/>
    <n v="2E+20"/>
    <n v="0"/>
    <n v="3.8121797026004698"/>
    <n v="89"/>
    <s v="Unnamed ProjectGise_Kap.QueueWaiting TimeQueue"/>
    <n v="15"/>
    <n v="0.17398390854051871"/>
    <n v="0.11869708134102724"/>
    <n v="0.95"/>
    <n v="6.5732252684284578E-2"/>
    <n v="1.0140352810774E-2"/>
    <n v="0.42879381521165499"/>
    <n v="0"/>
    <n v="7.1614883448111302"/>
    <n v="96.066666666666663"/>
    <n v="6.5732252684284578E-2"/>
    <n v="15"/>
    <n v="1"/>
  </r>
  <r>
    <x v="0"/>
    <s v="2025-06-18 23:52:34"/>
    <n v="2"/>
    <x v="1"/>
    <x v="6"/>
    <x v="1"/>
    <n v="0.20486695831246099"/>
    <n v="2E+20"/>
    <n v="0"/>
    <n v="4.6993026119143098"/>
    <n v="104"/>
    <s v="Unnamed ProjectGise_Kap.QueueWaiting TimeQueue"/>
    <n v="15"/>
    <n v="0.17398390854051871"/>
    <n v="0.11869708134102724"/>
    <n v="0.95"/>
    <n v="6.5732252684284578E-2"/>
    <n v="1.0140352810774E-2"/>
    <n v="0.42879381521165499"/>
    <n v="0"/>
    <n v="7.1614883448111302"/>
    <n v="96.066666666666663"/>
    <n v="6.5732252684284578E-2"/>
    <n v="15"/>
    <n v="1"/>
  </r>
  <r>
    <x v="0"/>
    <s v="2025-06-18 23:52:34"/>
    <n v="3"/>
    <x v="1"/>
    <x v="6"/>
    <x v="1"/>
    <n v="0.41991339610698802"/>
    <n v="2E+20"/>
    <n v="0"/>
    <n v="7.1614883448111302"/>
    <n v="116"/>
    <s v="Unnamed ProjectGise_Kap.QueueWaiting TimeQueue"/>
    <n v="15"/>
    <n v="0.17398390854051871"/>
    <n v="0.11869708134102724"/>
    <n v="0.95"/>
    <n v="6.5732252684284578E-2"/>
    <n v="1.0140352810774E-2"/>
    <n v="0.42879381521165499"/>
    <n v="0"/>
    <n v="7.1614883448111302"/>
    <n v="96.066666666666663"/>
    <n v="6.5732252684284578E-2"/>
    <n v="15"/>
    <n v="1"/>
  </r>
  <r>
    <x v="0"/>
    <s v="2025-06-18 23:52:34"/>
    <n v="4"/>
    <x v="1"/>
    <x v="6"/>
    <x v="1"/>
    <n v="0.14789459743976599"/>
    <n v="2E+20"/>
    <n v="0"/>
    <n v="3.3505131756219599"/>
    <n v="100"/>
    <s v="Unnamed ProjectGise_Kap.QueueWaiting TimeQueue"/>
    <n v="15"/>
    <n v="0.17398390854051871"/>
    <n v="0.11869708134102724"/>
    <n v="0.95"/>
    <n v="6.5732252684284578E-2"/>
    <n v="1.0140352810774E-2"/>
    <n v="0.42879381521165499"/>
    <n v="0"/>
    <n v="7.1614883448111302"/>
    <n v="96.066666666666663"/>
    <n v="6.5732252684284578E-2"/>
    <n v="15"/>
    <n v="1"/>
  </r>
  <r>
    <x v="0"/>
    <s v="2025-06-18 23:52:34"/>
    <n v="5"/>
    <x v="1"/>
    <x v="6"/>
    <x v="1"/>
    <n v="0.16140755744719401"/>
    <n v="2E+20"/>
    <n v="0"/>
    <n v="4.1168613064264701"/>
    <n v="105"/>
    <s v="Unnamed ProjectGise_Kap.QueueWaiting TimeQueue"/>
    <n v="15"/>
    <n v="0.17398390854051871"/>
    <n v="0.11869708134102724"/>
    <n v="0.95"/>
    <n v="6.5732252684284578E-2"/>
    <n v="1.0140352810774E-2"/>
    <n v="0.42879381521165499"/>
    <n v="0"/>
    <n v="7.1614883448111302"/>
    <n v="96.066666666666663"/>
    <n v="6.5732252684284578E-2"/>
    <n v="15"/>
    <n v="1"/>
  </r>
  <r>
    <x v="0"/>
    <s v="2025-06-18 23:52:34"/>
    <n v="6"/>
    <x v="1"/>
    <x v="6"/>
    <x v="1"/>
    <n v="0.42879381521165499"/>
    <n v="2E+20"/>
    <n v="0"/>
    <n v="6.6688824954600499"/>
    <n v="98"/>
    <s v="Unnamed ProjectGise_Kap.QueueWaiting TimeQueue"/>
    <n v="15"/>
    <n v="0.17398390854051871"/>
    <n v="0.11869708134102724"/>
    <n v="0.95"/>
    <n v="6.5732252684284578E-2"/>
    <n v="1.0140352810774E-2"/>
    <n v="0.42879381521165499"/>
    <n v="0"/>
    <n v="7.1614883448111302"/>
    <n v="96.066666666666663"/>
    <n v="6.5732252684284578E-2"/>
    <n v="15"/>
    <n v="1"/>
  </r>
  <r>
    <x v="0"/>
    <s v="2025-06-18 23:52:34"/>
    <n v="7"/>
    <x v="1"/>
    <x v="6"/>
    <x v="1"/>
    <n v="2.3599774440667302E-2"/>
    <n v="2E+20"/>
    <n v="0"/>
    <n v="1.81870565101076"/>
    <n v="97"/>
    <s v="Unnamed ProjectGise_Kap.QueueWaiting TimeQueue"/>
    <n v="15"/>
    <n v="0.17398390854051871"/>
    <n v="0.11869708134102724"/>
    <n v="0.95"/>
    <n v="6.5732252684284578E-2"/>
    <n v="1.0140352810774E-2"/>
    <n v="0.42879381521165499"/>
    <n v="0"/>
    <n v="7.1614883448111302"/>
    <n v="96.066666666666663"/>
    <n v="6.5732252684284578E-2"/>
    <n v="15"/>
    <n v="1"/>
  </r>
  <r>
    <x v="0"/>
    <s v="2025-06-18 23:52:34"/>
    <n v="8"/>
    <x v="1"/>
    <x v="6"/>
    <x v="1"/>
    <n v="1.0140352810774E-2"/>
    <n v="2E+20"/>
    <n v="0"/>
    <n v="0.83150893048346597"/>
    <n v="82"/>
    <s v="Unnamed ProjectGise_Kap.QueueWaiting TimeQueue"/>
    <n v="15"/>
    <n v="0.17398390854051871"/>
    <n v="0.11869708134102724"/>
    <n v="0.95"/>
    <n v="6.5732252684284578E-2"/>
    <n v="1.0140352810774E-2"/>
    <n v="0.42879381521165499"/>
    <n v="0"/>
    <n v="7.1614883448111302"/>
    <n v="96.066666666666663"/>
    <n v="6.5732252684284578E-2"/>
    <n v="15"/>
    <n v="1"/>
  </r>
  <r>
    <x v="0"/>
    <s v="2025-06-18 23:52:34"/>
    <n v="9"/>
    <x v="1"/>
    <x v="6"/>
    <x v="1"/>
    <n v="8.1048432541920304E-2"/>
    <n v="2E+20"/>
    <n v="0"/>
    <n v="3.0487620939600202"/>
    <n v="96"/>
    <s v="Unnamed ProjectGise_Kap.QueueWaiting TimeQueue"/>
    <n v="15"/>
    <n v="0.17398390854051871"/>
    <n v="0.11869708134102724"/>
    <n v="0.95"/>
    <n v="6.5732252684284578E-2"/>
    <n v="1.0140352810774E-2"/>
    <n v="0.42879381521165499"/>
    <n v="0"/>
    <n v="7.1614883448111302"/>
    <n v="96.066666666666663"/>
    <n v="6.5732252684284578E-2"/>
    <n v="15"/>
    <n v="1"/>
  </r>
  <r>
    <x v="0"/>
    <s v="2025-06-18 23:52:34"/>
    <n v="10"/>
    <x v="1"/>
    <x v="6"/>
    <x v="1"/>
    <n v="0.12398991480851"/>
    <n v="2E+20"/>
    <n v="0"/>
    <n v="3.1238390572310899"/>
    <n v="86"/>
    <s v="Unnamed ProjectGise_Kap.QueueWaiting TimeQueue"/>
    <n v="15"/>
    <n v="0.17398390854051871"/>
    <n v="0.11869708134102724"/>
    <n v="0.95"/>
    <n v="6.5732252684284578E-2"/>
    <n v="1.0140352810774E-2"/>
    <n v="0.42879381521165499"/>
    <n v="0"/>
    <n v="7.1614883448111302"/>
    <n v="96.066666666666663"/>
    <n v="6.5732252684284578E-2"/>
    <n v="15"/>
    <n v="1"/>
  </r>
  <r>
    <x v="0"/>
    <s v="2025-06-18 23:52:34"/>
    <n v="11"/>
    <x v="1"/>
    <x v="6"/>
    <x v="1"/>
    <n v="0.14363994339996999"/>
    <n v="2E+20"/>
    <n v="0"/>
    <n v="3.87276389842603"/>
    <n v="102"/>
    <s v="Unnamed ProjectGise_Kap.QueueWaiting TimeQueue"/>
    <n v="15"/>
    <n v="0.17398390854051871"/>
    <n v="0.11869708134102724"/>
    <n v="0.95"/>
    <n v="6.5732252684284578E-2"/>
    <n v="1.0140352810774E-2"/>
    <n v="0.42879381521165499"/>
    <n v="0"/>
    <n v="7.1614883448111302"/>
    <n v="96.066666666666663"/>
    <n v="6.5732252684284578E-2"/>
    <n v="15"/>
    <n v="1"/>
  </r>
  <r>
    <x v="0"/>
    <s v="2025-06-18 23:52:34"/>
    <n v="12"/>
    <x v="1"/>
    <x v="6"/>
    <x v="1"/>
    <n v="0.22559633343271199"/>
    <n v="2E+20"/>
    <n v="0"/>
    <n v="4.0476584304148"/>
    <n v="84"/>
    <s v="Unnamed ProjectGise_Kap.QueueWaiting TimeQueue"/>
    <n v="15"/>
    <n v="0.17398390854051871"/>
    <n v="0.11869708134102724"/>
    <n v="0.95"/>
    <n v="6.5732252684284578E-2"/>
    <n v="1.0140352810774E-2"/>
    <n v="0.42879381521165499"/>
    <n v="0"/>
    <n v="7.1614883448111302"/>
    <n v="96.066666666666663"/>
    <n v="6.5732252684284578E-2"/>
    <n v="15"/>
    <n v="1"/>
  </r>
  <r>
    <x v="0"/>
    <s v="2025-06-18 23:52:34"/>
    <n v="13"/>
    <x v="1"/>
    <x v="6"/>
    <x v="1"/>
    <n v="0.181030575170401"/>
    <n v="2E+20"/>
    <n v="0"/>
    <n v="4.2487530466776704"/>
    <n v="99"/>
    <s v="Unnamed ProjectGise_Kap.QueueWaiting TimeQueue"/>
    <n v="15"/>
    <n v="0.17398390854051871"/>
    <n v="0.11869708134102724"/>
    <n v="0.95"/>
    <n v="6.5732252684284578E-2"/>
    <n v="1.0140352810774E-2"/>
    <n v="0.42879381521165499"/>
    <n v="0"/>
    <n v="7.1614883448111302"/>
    <n v="96.066666666666663"/>
    <n v="6.5732252684284578E-2"/>
    <n v="15"/>
    <n v="1"/>
  </r>
  <r>
    <x v="0"/>
    <s v="2025-06-18 23:52:34"/>
    <n v="14"/>
    <x v="1"/>
    <x v="6"/>
    <x v="1"/>
    <n v="0.175411549832172"/>
    <n v="2E+20"/>
    <n v="0"/>
    <n v="2.5116925185140202"/>
    <n v="96"/>
    <s v="Unnamed ProjectGise_Kap.QueueWaiting TimeQueue"/>
    <n v="15"/>
    <n v="0.17398390854051871"/>
    <n v="0.11869708134102724"/>
    <n v="0.95"/>
    <n v="6.5732252684284578E-2"/>
    <n v="1.0140352810774E-2"/>
    <n v="0.42879381521165499"/>
    <n v="0"/>
    <n v="7.1614883448111302"/>
    <n v="96.066666666666663"/>
    <n v="6.5732252684284578E-2"/>
    <n v="15"/>
    <n v="1"/>
  </r>
  <r>
    <x v="0"/>
    <s v="2025-06-18 23:52:34"/>
    <n v="15"/>
    <x v="1"/>
    <x v="6"/>
    <x v="1"/>
    <n v="9.8415030438782899E-2"/>
    <n v="2E+20"/>
    <n v="0"/>
    <n v="3.4622521247683302"/>
    <n v="87"/>
    <s v="Unnamed ProjectGise_Kap.QueueWaiting TimeQueue"/>
    <n v="15"/>
    <n v="0.17398390854051871"/>
    <n v="0.11869708134102724"/>
    <n v="0.95"/>
    <n v="6.5732252684284578E-2"/>
    <n v="1.0140352810774E-2"/>
    <n v="0.42879381521165499"/>
    <n v="0"/>
    <n v="7.1614883448111302"/>
    <n v="96.066666666666663"/>
    <n v="6.5732252684284578E-2"/>
    <n v="15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">
  <r>
    <x v="0"/>
    <s v="2025-06-18 23:52:34"/>
    <n v="1"/>
    <x v="0"/>
    <x v="0"/>
    <x v="0"/>
    <n v="89"/>
    <n v="0"/>
    <s v="Unnamed ProjectEntity 1.NumberInNumber InEntity"/>
    <n v="15"/>
    <n v="96.066666666666663"/>
    <n v="9.1843552279069058"/>
    <n v="0.95"/>
    <n v="5.0861263963896395"/>
    <n v="82"/>
    <n v="116"/>
  </r>
  <r>
    <x v="0"/>
    <s v="2025-06-18 23:52:34"/>
    <n v="1"/>
    <x v="1"/>
    <x v="1"/>
    <x v="0"/>
    <n v="89"/>
    <n v="0"/>
    <s v="Unnamed ProjectEntity 1.NumberOutNumber OutEntity"/>
    <n v="15"/>
    <n v="95.2"/>
    <n v="9.3059120993054751"/>
    <n v="0.95"/>
    <n v="5.1534423480205414"/>
    <n v="81"/>
    <n v="116"/>
  </r>
  <r>
    <x v="0"/>
    <s v="2025-06-18 23:52:34"/>
    <n v="1"/>
    <x v="2"/>
    <x v="2"/>
    <x v="1"/>
    <n v="89"/>
    <n v="0"/>
    <s v="Unnamed ProjectGise.NumberSeizedTotal Number SeizedResource"/>
    <n v="15"/>
    <n v="96.066666666666663"/>
    <n v="9.1843552279069058"/>
    <n v="0.95"/>
    <n v="5.0861263963896395"/>
    <n v="82"/>
    <n v="116"/>
  </r>
  <r>
    <x v="0"/>
    <s v="2025-06-18 23:52:34"/>
    <n v="1"/>
    <x v="3"/>
    <x v="3"/>
    <x v="1"/>
    <n v="0.34638321894525598"/>
    <n v="0"/>
    <s v="Unnamed ProjectGise.ScheduledUtilizationScheduled UtilizationResource"/>
    <n v="15"/>
    <n v="0.35538558845326462"/>
    <n v="3.5995680767676681E-2"/>
    <n v="0.95"/>
    <n v="1.9933743585200857E-2"/>
    <n v="0.29520999449618501"/>
    <n v="0.43628573463419201"/>
  </r>
  <r>
    <x v="0"/>
    <s v="2025-06-18 23:52:34"/>
    <n v="1"/>
    <x v="4"/>
    <x v="1"/>
    <x v="2"/>
    <n v="89"/>
    <n v="0"/>
    <s v="Unnamed ProjectSystem.NumberOutNumber OutSystem"/>
    <n v="15"/>
    <n v="95.2"/>
    <n v="9.3059120993054751"/>
    <n v="0.95"/>
    <n v="5.1534423480205414"/>
    <n v="81"/>
    <n v="116"/>
  </r>
  <r>
    <x v="0"/>
    <s v="2025-06-18 23:52:34"/>
    <n v="2"/>
    <x v="0"/>
    <x v="0"/>
    <x v="0"/>
    <n v="104"/>
    <n v="0"/>
    <s v="Unnamed ProjectEntity 1.NumberInNumber InEntity"/>
    <n v="15"/>
    <n v="96.066666666666663"/>
    <n v="9.1843552279069058"/>
    <n v="0.95"/>
    <n v="5.0861263963896395"/>
    <n v="82"/>
    <n v="116"/>
  </r>
  <r>
    <x v="0"/>
    <s v="2025-06-18 23:52:34"/>
    <n v="2"/>
    <x v="1"/>
    <x v="1"/>
    <x v="0"/>
    <n v="104"/>
    <n v="0"/>
    <s v="Unnamed ProjectEntity 1.NumberOutNumber OutEntity"/>
    <n v="15"/>
    <n v="95.2"/>
    <n v="9.3059120993054751"/>
    <n v="0.95"/>
    <n v="5.1534423480205414"/>
    <n v="81"/>
    <n v="116"/>
  </r>
  <r>
    <x v="0"/>
    <s v="2025-06-18 23:52:34"/>
    <n v="2"/>
    <x v="2"/>
    <x v="2"/>
    <x v="1"/>
    <n v="104"/>
    <n v="0"/>
    <s v="Unnamed ProjectGise.NumberSeizedTotal Number SeizedResource"/>
    <n v="15"/>
    <n v="96.066666666666663"/>
    <n v="9.1843552279069058"/>
    <n v="0.95"/>
    <n v="5.0861263963896395"/>
    <n v="82"/>
    <n v="116"/>
  </r>
  <r>
    <x v="0"/>
    <s v="2025-06-18 23:52:34"/>
    <n v="2"/>
    <x v="3"/>
    <x v="3"/>
    <x v="1"/>
    <n v="0.39313134868701599"/>
    <n v="0"/>
    <s v="Unnamed ProjectGise.ScheduledUtilizationScheduled UtilizationResource"/>
    <n v="15"/>
    <n v="0.35538558845326462"/>
    <n v="3.5995680767676681E-2"/>
    <n v="0.95"/>
    <n v="1.9933743585200857E-2"/>
    <n v="0.29520999449618501"/>
    <n v="0.43628573463419201"/>
  </r>
  <r>
    <x v="0"/>
    <s v="2025-06-18 23:52:34"/>
    <n v="2"/>
    <x v="4"/>
    <x v="1"/>
    <x v="2"/>
    <n v="104"/>
    <n v="0"/>
    <s v="Unnamed ProjectSystem.NumberOutNumber OutSystem"/>
    <n v="15"/>
    <n v="95.2"/>
    <n v="9.3059120993054751"/>
    <n v="0.95"/>
    <n v="5.1534423480205414"/>
    <n v="81"/>
    <n v="116"/>
  </r>
  <r>
    <x v="0"/>
    <s v="2025-06-18 23:52:34"/>
    <n v="3"/>
    <x v="0"/>
    <x v="0"/>
    <x v="0"/>
    <n v="116"/>
    <n v="0"/>
    <s v="Unnamed ProjectEntity 1.NumberInNumber InEntity"/>
    <n v="15"/>
    <n v="96.066666666666663"/>
    <n v="9.1843552279069058"/>
    <n v="0.95"/>
    <n v="5.0861263963896395"/>
    <n v="82"/>
    <n v="116"/>
  </r>
  <r>
    <x v="0"/>
    <s v="2025-06-18 23:52:34"/>
    <n v="3"/>
    <x v="1"/>
    <x v="1"/>
    <x v="0"/>
    <n v="116"/>
    <n v="0"/>
    <s v="Unnamed ProjectEntity 1.NumberOutNumber OutEntity"/>
    <n v="15"/>
    <n v="95.2"/>
    <n v="9.3059120993054751"/>
    <n v="0.95"/>
    <n v="5.1534423480205414"/>
    <n v="81"/>
    <n v="116"/>
  </r>
  <r>
    <x v="0"/>
    <s v="2025-06-18 23:52:34"/>
    <n v="3"/>
    <x v="2"/>
    <x v="2"/>
    <x v="1"/>
    <n v="116"/>
    <n v="0"/>
    <s v="Unnamed ProjectGise.NumberSeizedTotal Number SeizedResource"/>
    <n v="15"/>
    <n v="96.066666666666663"/>
    <n v="9.1843552279069058"/>
    <n v="0.95"/>
    <n v="5.0861263963896395"/>
    <n v="82"/>
    <n v="116"/>
  </r>
  <r>
    <x v="0"/>
    <s v="2025-06-18 23:52:34"/>
    <n v="3"/>
    <x v="3"/>
    <x v="3"/>
    <x v="1"/>
    <n v="0.43628573463419201"/>
    <n v="0"/>
    <s v="Unnamed ProjectGise.ScheduledUtilizationScheduled UtilizationResource"/>
    <n v="15"/>
    <n v="0.35538558845326462"/>
    <n v="3.5995680767676681E-2"/>
    <n v="0.95"/>
    <n v="1.9933743585200857E-2"/>
    <n v="0.29520999449618501"/>
    <n v="0.43628573463419201"/>
  </r>
  <r>
    <x v="0"/>
    <s v="2025-06-18 23:52:34"/>
    <n v="3"/>
    <x v="4"/>
    <x v="1"/>
    <x v="2"/>
    <n v="116"/>
    <n v="0"/>
    <s v="Unnamed ProjectSystem.NumberOutNumber OutSystem"/>
    <n v="15"/>
    <n v="95.2"/>
    <n v="9.3059120993054751"/>
    <n v="0.95"/>
    <n v="5.1534423480205414"/>
    <n v="81"/>
    <n v="116"/>
  </r>
  <r>
    <x v="0"/>
    <s v="2025-06-18 23:52:34"/>
    <n v="4"/>
    <x v="0"/>
    <x v="0"/>
    <x v="0"/>
    <n v="100"/>
    <n v="0"/>
    <s v="Unnamed ProjectEntity 1.NumberInNumber InEntity"/>
    <n v="15"/>
    <n v="96.066666666666663"/>
    <n v="9.1843552279069058"/>
    <n v="0.95"/>
    <n v="5.0861263963896395"/>
    <n v="82"/>
    <n v="116"/>
  </r>
  <r>
    <x v="0"/>
    <s v="2025-06-18 23:52:34"/>
    <n v="4"/>
    <x v="1"/>
    <x v="1"/>
    <x v="0"/>
    <n v="98"/>
    <n v="0"/>
    <s v="Unnamed ProjectEntity 1.NumberOutNumber OutEntity"/>
    <n v="15"/>
    <n v="95.2"/>
    <n v="9.3059120993054751"/>
    <n v="0.95"/>
    <n v="5.1534423480205414"/>
    <n v="81"/>
    <n v="116"/>
  </r>
  <r>
    <x v="0"/>
    <s v="2025-06-18 23:52:34"/>
    <n v="4"/>
    <x v="2"/>
    <x v="2"/>
    <x v="1"/>
    <n v="100"/>
    <n v="0"/>
    <s v="Unnamed ProjectGise.NumberSeizedTotal Number SeizedResource"/>
    <n v="15"/>
    <n v="96.066666666666663"/>
    <n v="9.1843552279069058"/>
    <n v="0.95"/>
    <n v="5.0861263963896395"/>
    <n v="82"/>
    <n v="116"/>
  </r>
  <r>
    <x v="0"/>
    <s v="2025-06-18 23:52:34"/>
    <n v="4"/>
    <x v="3"/>
    <x v="3"/>
    <x v="1"/>
    <n v="0.37697675535078001"/>
    <n v="0"/>
    <s v="Unnamed ProjectGise.ScheduledUtilizationScheduled UtilizationResource"/>
    <n v="15"/>
    <n v="0.35538558845326462"/>
    <n v="3.5995680767676681E-2"/>
    <n v="0.95"/>
    <n v="1.9933743585200857E-2"/>
    <n v="0.29520999449618501"/>
    <n v="0.43628573463419201"/>
  </r>
  <r>
    <x v="0"/>
    <s v="2025-06-18 23:52:34"/>
    <n v="4"/>
    <x v="4"/>
    <x v="1"/>
    <x v="2"/>
    <n v="98"/>
    <n v="0"/>
    <s v="Unnamed ProjectSystem.NumberOutNumber OutSystem"/>
    <n v="15"/>
    <n v="95.2"/>
    <n v="9.3059120993054751"/>
    <n v="0.95"/>
    <n v="5.1534423480205414"/>
    <n v="81"/>
    <n v="116"/>
  </r>
  <r>
    <x v="0"/>
    <s v="2025-06-18 23:52:34"/>
    <n v="5"/>
    <x v="0"/>
    <x v="0"/>
    <x v="0"/>
    <n v="105"/>
    <n v="0"/>
    <s v="Unnamed ProjectEntity 1.NumberInNumber InEntity"/>
    <n v="15"/>
    <n v="96.066666666666663"/>
    <n v="9.1843552279069058"/>
    <n v="0.95"/>
    <n v="5.0861263963896395"/>
    <n v="82"/>
    <n v="116"/>
  </r>
  <r>
    <x v="0"/>
    <s v="2025-06-18 23:52:34"/>
    <n v="5"/>
    <x v="1"/>
    <x v="1"/>
    <x v="0"/>
    <n v="104"/>
    <n v="0"/>
    <s v="Unnamed ProjectEntity 1.NumberOutNumber OutEntity"/>
    <n v="15"/>
    <n v="95.2"/>
    <n v="9.3059120993054751"/>
    <n v="0.95"/>
    <n v="5.1534423480205414"/>
    <n v="81"/>
    <n v="116"/>
  </r>
  <r>
    <x v="0"/>
    <s v="2025-06-18 23:52:34"/>
    <n v="5"/>
    <x v="2"/>
    <x v="2"/>
    <x v="1"/>
    <n v="105"/>
    <n v="0"/>
    <s v="Unnamed ProjectGise.NumberSeizedTotal Number SeizedResource"/>
    <n v="15"/>
    <n v="96.066666666666663"/>
    <n v="9.1843552279069058"/>
    <n v="0.95"/>
    <n v="5.0861263963896395"/>
    <n v="82"/>
    <n v="116"/>
  </r>
  <r>
    <x v="0"/>
    <s v="2025-06-18 23:52:34"/>
    <n v="5"/>
    <x v="3"/>
    <x v="3"/>
    <x v="1"/>
    <n v="0.372178956795647"/>
    <n v="0"/>
    <s v="Unnamed ProjectGise.ScheduledUtilizationScheduled UtilizationResource"/>
    <n v="15"/>
    <n v="0.35538558845326462"/>
    <n v="3.5995680767676681E-2"/>
    <n v="0.95"/>
    <n v="1.9933743585200857E-2"/>
    <n v="0.29520999449618501"/>
    <n v="0.43628573463419201"/>
  </r>
  <r>
    <x v="0"/>
    <s v="2025-06-18 23:52:34"/>
    <n v="5"/>
    <x v="4"/>
    <x v="1"/>
    <x v="2"/>
    <n v="104"/>
    <n v="0"/>
    <s v="Unnamed ProjectSystem.NumberOutNumber OutSystem"/>
    <n v="15"/>
    <n v="95.2"/>
    <n v="9.3059120993054751"/>
    <n v="0.95"/>
    <n v="5.1534423480205414"/>
    <n v="81"/>
    <n v="116"/>
  </r>
  <r>
    <x v="0"/>
    <s v="2025-06-18 23:52:34"/>
    <n v="6"/>
    <x v="0"/>
    <x v="0"/>
    <x v="0"/>
    <n v="98"/>
    <n v="0"/>
    <s v="Unnamed ProjectEntity 1.NumberInNumber InEntity"/>
    <n v="15"/>
    <n v="96.066666666666663"/>
    <n v="9.1843552279069058"/>
    <n v="0.95"/>
    <n v="5.0861263963896395"/>
    <n v="82"/>
    <n v="116"/>
  </r>
  <r>
    <x v="0"/>
    <s v="2025-06-18 23:52:34"/>
    <n v="6"/>
    <x v="1"/>
    <x v="1"/>
    <x v="0"/>
    <n v="98"/>
    <n v="0"/>
    <s v="Unnamed ProjectEntity 1.NumberOutNumber OutEntity"/>
    <n v="15"/>
    <n v="95.2"/>
    <n v="9.3059120993054751"/>
    <n v="0.95"/>
    <n v="5.1534423480205414"/>
    <n v="81"/>
    <n v="116"/>
  </r>
  <r>
    <x v="0"/>
    <s v="2025-06-18 23:52:34"/>
    <n v="6"/>
    <x v="2"/>
    <x v="2"/>
    <x v="1"/>
    <n v="98"/>
    <n v="0"/>
    <s v="Unnamed ProjectGise.NumberSeizedTotal Number SeizedResource"/>
    <n v="15"/>
    <n v="96.066666666666663"/>
    <n v="9.1843552279069058"/>
    <n v="0.95"/>
    <n v="5.0861263963896395"/>
    <n v="82"/>
    <n v="116"/>
  </r>
  <r>
    <x v="0"/>
    <s v="2025-06-18 23:52:34"/>
    <n v="6"/>
    <x v="3"/>
    <x v="3"/>
    <x v="1"/>
    <n v="0.370655125955556"/>
    <n v="0"/>
    <s v="Unnamed ProjectGise.ScheduledUtilizationScheduled UtilizationResource"/>
    <n v="15"/>
    <n v="0.35538558845326462"/>
    <n v="3.5995680767676681E-2"/>
    <n v="0.95"/>
    <n v="1.9933743585200857E-2"/>
    <n v="0.29520999449618501"/>
    <n v="0.43628573463419201"/>
  </r>
  <r>
    <x v="0"/>
    <s v="2025-06-18 23:52:34"/>
    <n v="6"/>
    <x v="4"/>
    <x v="1"/>
    <x v="2"/>
    <n v="98"/>
    <n v="0"/>
    <s v="Unnamed ProjectSystem.NumberOutNumber OutSystem"/>
    <n v="15"/>
    <n v="95.2"/>
    <n v="9.3059120993054751"/>
    <n v="0.95"/>
    <n v="5.1534423480205414"/>
    <n v="81"/>
    <n v="116"/>
  </r>
  <r>
    <x v="0"/>
    <s v="2025-06-18 23:52:34"/>
    <n v="7"/>
    <x v="0"/>
    <x v="0"/>
    <x v="0"/>
    <n v="97"/>
    <n v="0"/>
    <s v="Unnamed ProjectEntity 1.NumberInNumber InEntity"/>
    <n v="15"/>
    <n v="96.066666666666663"/>
    <n v="9.1843552279069058"/>
    <n v="0.95"/>
    <n v="5.0861263963896395"/>
    <n v="82"/>
    <n v="116"/>
  </r>
  <r>
    <x v="0"/>
    <s v="2025-06-18 23:52:34"/>
    <n v="7"/>
    <x v="1"/>
    <x v="1"/>
    <x v="0"/>
    <n v="97"/>
    <n v="0"/>
    <s v="Unnamed ProjectEntity 1.NumberOutNumber OutEntity"/>
    <n v="15"/>
    <n v="95.2"/>
    <n v="9.3059120993054751"/>
    <n v="0.95"/>
    <n v="5.1534423480205414"/>
    <n v="81"/>
    <n v="116"/>
  </r>
  <r>
    <x v="0"/>
    <s v="2025-06-18 23:52:34"/>
    <n v="7"/>
    <x v="2"/>
    <x v="2"/>
    <x v="1"/>
    <n v="97"/>
    <n v="0"/>
    <s v="Unnamed ProjectGise.NumberSeizedTotal Number SeizedResource"/>
    <n v="15"/>
    <n v="96.066666666666663"/>
    <n v="9.1843552279069058"/>
    <n v="0.95"/>
    <n v="5.0861263963896395"/>
    <n v="82"/>
    <n v="116"/>
  </r>
  <r>
    <x v="0"/>
    <s v="2025-06-18 23:52:34"/>
    <n v="7"/>
    <x v="3"/>
    <x v="3"/>
    <x v="1"/>
    <n v="0.372030054993295"/>
    <n v="0"/>
    <s v="Unnamed ProjectGise.ScheduledUtilizationScheduled UtilizationResource"/>
    <n v="15"/>
    <n v="0.35538558845326462"/>
    <n v="3.5995680767676681E-2"/>
    <n v="0.95"/>
    <n v="1.9933743585200857E-2"/>
    <n v="0.29520999449618501"/>
    <n v="0.43628573463419201"/>
  </r>
  <r>
    <x v="0"/>
    <s v="2025-06-18 23:52:34"/>
    <n v="7"/>
    <x v="4"/>
    <x v="1"/>
    <x v="2"/>
    <n v="97"/>
    <n v="0"/>
    <s v="Unnamed ProjectSystem.NumberOutNumber OutSystem"/>
    <n v="15"/>
    <n v="95.2"/>
    <n v="9.3059120993054751"/>
    <n v="0.95"/>
    <n v="5.1534423480205414"/>
    <n v="81"/>
    <n v="116"/>
  </r>
  <r>
    <x v="0"/>
    <s v="2025-06-18 23:52:34"/>
    <n v="8"/>
    <x v="0"/>
    <x v="0"/>
    <x v="0"/>
    <n v="82"/>
    <n v="0"/>
    <s v="Unnamed ProjectEntity 1.NumberInNumber InEntity"/>
    <n v="15"/>
    <n v="96.066666666666663"/>
    <n v="9.1843552279069058"/>
    <n v="0.95"/>
    <n v="5.0861263963896395"/>
    <n v="82"/>
    <n v="116"/>
  </r>
  <r>
    <x v="0"/>
    <s v="2025-06-18 23:52:34"/>
    <n v="8"/>
    <x v="1"/>
    <x v="1"/>
    <x v="0"/>
    <n v="81"/>
    <n v="0"/>
    <s v="Unnamed ProjectEntity 1.NumberOutNumber OutEntity"/>
    <n v="15"/>
    <n v="95.2"/>
    <n v="9.3059120993054751"/>
    <n v="0.95"/>
    <n v="5.1534423480205414"/>
    <n v="81"/>
    <n v="116"/>
  </r>
  <r>
    <x v="0"/>
    <s v="2025-06-18 23:52:34"/>
    <n v="8"/>
    <x v="2"/>
    <x v="2"/>
    <x v="1"/>
    <n v="82"/>
    <n v="0"/>
    <s v="Unnamed ProjectGise.NumberSeizedTotal Number SeizedResource"/>
    <n v="15"/>
    <n v="96.066666666666663"/>
    <n v="9.1843552279069058"/>
    <n v="0.95"/>
    <n v="5.0861263963896395"/>
    <n v="82"/>
    <n v="116"/>
  </r>
  <r>
    <x v="0"/>
    <s v="2025-06-18 23:52:34"/>
    <n v="8"/>
    <x v="3"/>
    <x v="3"/>
    <x v="1"/>
    <n v="0.314812271755046"/>
    <n v="0"/>
    <s v="Unnamed ProjectGise.ScheduledUtilizationScheduled UtilizationResource"/>
    <n v="15"/>
    <n v="0.35538558845326462"/>
    <n v="3.5995680767676681E-2"/>
    <n v="0.95"/>
    <n v="1.9933743585200857E-2"/>
    <n v="0.29520999449618501"/>
    <n v="0.43628573463419201"/>
  </r>
  <r>
    <x v="0"/>
    <s v="2025-06-18 23:52:34"/>
    <n v="8"/>
    <x v="4"/>
    <x v="1"/>
    <x v="2"/>
    <n v="81"/>
    <n v="0"/>
    <s v="Unnamed ProjectSystem.NumberOutNumber OutSystem"/>
    <n v="15"/>
    <n v="95.2"/>
    <n v="9.3059120993054751"/>
    <n v="0.95"/>
    <n v="5.1534423480205414"/>
    <n v="81"/>
    <n v="116"/>
  </r>
  <r>
    <x v="0"/>
    <s v="2025-06-18 23:52:34"/>
    <n v="9"/>
    <x v="0"/>
    <x v="0"/>
    <x v="0"/>
    <n v="96"/>
    <n v="0"/>
    <s v="Unnamed ProjectEntity 1.NumberInNumber InEntity"/>
    <n v="15"/>
    <n v="96.066666666666663"/>
    <n v="9.1843552279069058"/>
    <n v="0.95"/>
    <n v="5.0861263963896395"/>
    <n v="82"/>
    <n v="116"/>
  </r>
  <r>
    <x v="0"/>
    <s v="2025-06-18 23:52:34"/>
    <n v="9"/>
    <x v="1"/>
    <x v="1"/>
    <x v="0"/>
    <n v="95"/>
    <n v="0"/>
    <s v="Unnamed ProjectEntity 1.NumberOutNumber OutEntity"/>
    <n v="15"/>
    <n v="95.2"/>
    <n v="9.3059120993054751"/>
    <n v="0.95"/>
    <n v="5.1534423480205414"/>
    <n v="81"/>
    <n v="116"/>
  </r>
  <r>
    <x v="0"/>
    <s v="2025-06-18 23:52:34"/>
    <n v="9"/>
    <x v="2"/>
    <x v="2"/>
    <x v="1"/>
    <n v="96"/>
    <n v="0"/>
    <s v="Unnamed ProjectGise.NumberSeizedTotal Number SeizedResource"/>
    <n v="15"/>
    <n v="96.066666666666663"/>
    <n v="9.1843552279069058"/>
    <n v="0.95"/>
    <n v="5.0861263963896395"/>
    <n v="82"/>
    <n v="116"/>
  </r>
  <r>
    <x v="0"/>
    <s v="2025-06-18 23:52:34"/>
    <n v="9"/>
    <x v="3"/>
    <x v="3"/>
    <x v="1"/>
    <n v="0.34665642788115703"/>
    <n v="0"/>
    <s v="Unnamed ProjectGise.ScheduledUtilizationScheduled UtilizationResource"/>
    <n v="15"/>
    <n v="0.35538558845326462"/>
    <n v="3.5995680767676681E-2"/>
    <n v="0.95"/>
    <n v="1.9933743585200857E-2"/>
    <n v="0.29520999449618501"/>
    <n v="0.43628573463419201"/>
  </r>
  <r>
    <x v="0"/>
    <s v="2025-06-18 23:52:34"/>
    <n v="9"/>
    <x v="4"/>
    <x v="1"/>
    <x v="2"/>
    <n v="95"/>
    <n v="0"/>
    <s v="Unnamed ProjectSystem.NumberOutNumber OutSystem"/>
    <n v="15"/>
    <n v="95.2"/>
    <n v="9.3059120993054751"/>
    <n v="0.95"/>
    <n v="5.1534423480205414"/>
    <n v="81"/>
    <n v="116"/>
  </r>
  <r>
    <x v="0"/>
    <s v="2025-06-18 23:52:34"/>
    <n v="10"/>
    <x v="0"/>
    <x v="0"/>
    <x v="0"/>
    <n v="86"/>
    <n v="0"/>
    <s v="Unnamed ProjectEntity 1.NumberInNumber InEntity"/>
    <n v="15"/>
    <n v="96.066666666666663"/>
    <n v="9.1843552279069058"/>
    <n v="0.95"/>
    <n v="5.0861263963896395"/>
    <n v="82"/>
    <n v="116"/>
  </r>
  <r>
    <x v="0"/>
    <s v="2025-06-18 23:52:34"/>
    <n v="10"/>
    <x v="1"/>
    <x v="1"/>
    <x v="0"/>
    <n v="84"/>
    <n v="0"/>
    <s v="Unnamed ProjectEntity 1.NumberOutNumber OutEntity"/>
    <n v="15"/>
    <n v="95.2"/>
    <n v="9.3059120993054751"/>
    <n v="0.95"/>
    <n v="5.1534423480205414"/>
    <n v="81"/>
    <n v="116"/>
  </r>
  <r>
    <x v="0"/>
    <s v="2025-06-18 23:52:34"/>
    <n v="10"/>
    <x v="2"/>
    <x v="2"/>
    <x v="1"/>
    <n v="86"/>
    <n v="0"/>
    <s v="Unnamed ProjectGise.NumberSeizedTotal Number SeizedResource"/>
    <n v="15"/>
    <n v="96.066666666666663"/>
    <n v="9.1843552279069058"/>
    <n v="0.95"/>
    <n v="5.0861263963896395"/>
    <n v="82"/>
    <n v="116"/>
  </r>
  <r>
    <x v="0"/>
    <s v="2025-06-18 23:52:34"/>
    <n v="10"/>
    <x v="3"/>
    <x v="3"/>
    <x v="1"/>
    <n v="0.29520999449618501"/>
    <n v="0"/>
    <s v="Unnamed ProjectGise.ScheduledUtilizationScheduled UtilizationResource"/>
    <n v="15"/>
    <n v="0.35538558845326462"/>
    <n v="3.5995680767676681E-2"/>
    <n v="0.95"/>
    <n v="1.9933743585200857E-2"/>
    <n v="0.29520999449618501"/>
    <n v="0.43628573463419201"/>
  </r>
  <r>
    <x v="0"/>
    <s v="2025-06-18 23:52:34"/>
    <n v="10"/>
    <x v="4"/>
    <x v="1"/>
    <x v="2"/>
    <n v="84"/>
    <n v="0"/>
    <s v="Unnamed ProjectSystem.NumberOutNumber OutSystem"/>
    <n v="15"/>
    <n v="95.2"/>
    <n v="9.3059120993054751"/>
    <n v="0.95"/>
    <n v="5.1534423480205414"/>
    <n v="81"/>
    <n v="116"/>
  </r>
  <r>
    <x v="0"/>
    <s v="2025-06-18 23:52:34"/>
    <n v="11"/>
    <x v="0"/>
    <x v="0"/>
    <x v="0"/>
    <n v="102"/>
    <n v="0"/>
    <s v="Unnamed ProjectEntity 1.NumberInNumber InEntity"/>
    <n v="15"/>
    <n v="96.066666666666663"/>
    <n v="9.1843552279069058"/>
    <n v="0.95"/>
    <n v="5.0861263963896395"/>
    <n v="82"/>
    <n v="116"/>
  </r>
  <r>
    <x v="0"/>
    <s v="2025-06-18 23:52:34"/>
    <n v="11"/>
    <x v="1"/>
    <x v="1"/>
    <x v="0"/>
    <n v="99"/>
    <n v="0"/>
    <s v="Unnamed ProjectEntity 1.NumberOutNumber OutEntity"/>
    <n v="15"/>
    <n v="95.2"/>
    <n v="9.3059120993054751"/>
    <n v="0.95"/>
    <n v="5.1534423480205414"/>
    <n v="81"/>
    <n v="116"/>
  </r>
  <r>
    <x v="0"/>
    <s v="2025-06-18 23:52:34"/>
    <n v="11"/>
    <x v="2"/>
    <x v="2"/>
    <x v="1"/>
    <n v="102"/>
    <n v="0"/>
    <s v="Unnamed ProjectGise.NumberSeizedTotal Number SeizedResource"/>
    <n v="15"/>
    <n v="96.066666666666663"/>
    <n v="9.1843552279069058"/>
    <n v="0.95"/>
    <n v="5.0861263963896395"/>
    <n v="82"/>
    <n v="116"/>
  </r>
  <r>
    <x v="0"/>
    <s v="2025-06-18 23:52:34"/>
    <n v="11"/>
    <x v="3"/>
    <x v="3"/>
    <x v="1"/>
    <n v="0.36224787211192799"/>
    <n v="0"/>
    <s v="Unnamed ProjectGise.ScheduledUtilizationScheduled UtilizationResource"/>
    <n v="15"/>
    <n v="0.35538558845326462"/>
    <n v="3.5995680767676681E-2"/>
    <n v="0.95"/>
    <n v="1.9933743585200857E-2"/>
    <n v="0.29520999449618501"/>
    <n v="0.43628573463419201"/>
  </r>
  <r>
    <x v="0"/>
    <s v="2025-06-18 23:52:34"/>
    <n v="11"/>
    <x v="4"/>
    <x v="1"/>
    <x v="2"/>
    <n v="99"/>
    <n v="0"/>
    <s v="Unnamed ProjectSystem.NumberOutNumber OutSystem"/>
    <n v="15"/>
    <n v="95.2"/>
    <n v="9.3059120993054751"/>
    <n v="0.95"/>
    <n v="5.1534423480205414"/>
    <n v="81"/>
    <n v="116"/>
  </r>
  <r>
    <x v="0"/>
    <s v="2025-06-18 23:52:34"/>
    <n v="12"/>
    <x v="0"/>
    <x v="0"/>
    <x v="0"/>
    <n v="84"/>
    <n v="0"/>
    <s v="Unnamed ProjectEntity 1.NumberInNumber InEntity"/>
    <n v="15"/>
    <n v="96.066666666666663"/>
    <n v="9.1843552279069058"/>
    <n v="0.95"/>
    <n v="5.0861263963896395"/>
    <n v="82"/>
    <n v="116"/>
  </r>
  <r>
    <x v="0"/>
    <s v="2025-06-18 23:52:34"/>
    <n v="12"/>
    <x v="1"/>
    <x v="1"/>
    <x v="0"/>
    <n v="84"/>
    <n v="0"/>
    <s v="Unnamed ProjectEntity 1.NumberOutNumber OutEntity"/>
    <n v="15"/>
    <n v="95.2"/>
    <n v="9.3059120993054751"/>
    <n v="0.95"/>
    <n v="5.1534423480205414"/>
    <n v="81"/>
    <n v="116"/>
  </r>
  <r>
    <x v="0"/>
    <s v="2025-06-18 23:52:34"/>
    <n v="12"/>
    <x v="2"/>
    <x v="2"/>
    <x v="1"/>
    <n v="84"/>
    <n v="0"/>
    <s v="Unnamed ProjectGise.NumberSeizedTotal Number SeizedResource"/>
    <n v="15"/>
    <n v="96.066666666666663"/>
    <n v="9.1843552279069058"/>
    <n v="0.95"/>
    <n v="5.0861263963896395"/>
    <n v="82"/>
    <n v="116"/>
  </r>
  <r>
    <x v="0"/>
    <s v="2025-06-18 23:52:34"/>
    <n v="12"/>
    <x v="3"/>
    <x v="3"/>
    <x v="1"/>
    <n v="0.30908648398812699"/>
    <n v="0"/>
    <s v="Unnamed ProjectGise.ScheduledUtilizationScheduled UtilizationResource"/>
    <n v="15"/>
    <n v="0.35538558845326462"/>
    <n v="3.5995680767676681E-2"/>
    <n v="0.95"/>
    <n v="1.9933743585200857E-2"/>
    <n v="0.29520999449618501"/>
    <n v="0.43628573463419201"/>
  </r>
  <r>
    <x v="0"/>
    <s v="2025-06-18 23:52:34"/>
    <n v="12"/>
    <x v="4"/>
    <x v="1"/>
    <x v="2"/>
    <n v="84"/>
    <n v="0"/>
    <s v="Unnamed ProjectSystem.NumberOutNumber OutSystem"/>
    <n v="15"/>
    <n v="95.2"/>
    <n v="9.3059120993054751"/>
    <n v="0.95"/>
    <n v="5.1534423480205414"/>
    <n v="81"/>
    <n v="116"/>
  </r>
  <r>
    <x v="0"/>
    <s v="2025-06-18 23:52:34"/>
    <n v="13"/>
    <x v="0"/>
    <x v="0"/>
    <x v="0"/>
    <n v="99"/>
    <n v="0"/>
    <s v="Unnamed ProjectEntity 1.NumberInNumber InEntity"/>
    <n v="15"/>
    <n v="96.066666666666663"/>
    <n v="9.1843552279069058"/>
    <n v="0.95"/>
    <n v="5.0861263963896395"/>
    <n v="82"/>
    <n v="116"/>
  </r>
  <r>
    <x v="0"/>
    <s v="2025-06-18 23:52:34"/>
    <n v="13"/>
    <x v="1"/>
    <x v="1"/>
    <x v="0"/>
    <n v="99"/>
    <n v="0"/>
    <s v="Unnamed ProjectEntity 1.NumberOutNumber OutEntity"/>
    <n v="15"/>
    <n v="95.2"/>
    <n v="9.3059120993054751"/>
    <n v="0.95"/>
    <n v="5.1534423480205414"/>
    <n v="81"/>
    <n v="116"/>
  </r>
  <r>
    <x v="0"/>
    <s v="2025-06-18 23:52:34"/>
    <n v="13"/>
    <x v="2"/>
    <x v="2"/>
    <x v="1"/>
    <n v="99"/>
    <n v="0"/>
    <s v="Unnamed ProjectGise.NumberSeizedTotal Number SeizedResource"/>
    <n v="15"/>
    <n v="96.066666666666663"/>
    <n v="9.1843552279069058"/>
    <n v="0.95"/>
    <n v="5.0861263963896395"/>
    <n v="82"/>
    <n v="116"/>
  </r>
  <r>
    <x v="0"/>
    <s v="2025-06-18 23:52:34"/>
    <n v="13"/>
    <x v="3"/>
    <x v="3"/>
    <x v="1"/>
    <n v="0.365388517527451"/>
    <n v="0"/>
    <s v="Unnamed ProjectGise.ScheduledUtilizationScheduled UtilizationResource"/>
    <n v="15"/>
    <n v="0.35538558845326462"/>
    <n v="3.5995680767676681E-2"/>
    <n v="0.95"/>
    <n v="1.9933743585200857E-2"/>
    <n v="0.29520999449618501"/>
    <n v="0.43628573463419201"/>
  </r>
  <r>
    <x v="0"/>
    <s v="2025-06-18 23:52:34"/>
    <n v="13"/>
    <x v="4"/>
    <x v="1"/>
    <x v="2"/>
    <n v="99"/>
    <n v="0"/>
    <s v="Unnamed ProjectSystem.NumberOutNumber OutSystem"/>
    <n v="15"/>
    <n v="95.2"/>
    <n v="9.3059120993054751"/>
    <n v="0.95"/>
    <n v="5.1534423480205414"/>
    <n v="81"/>
    <n v="116"/>
  </r>
  <r>
    <x v="0"/>
    <s v="2025-06-18 23:52:34"/>
    <n v="14"/>
    <x v="0"/>
    <x v="0"/>
    <x v="0"/>
    <n v="96"/>
    <n v="0"/>
    <s v="Unnamed ProjectEntity 1.NumberInNumber InEntity"/>
    <n v="15"/>
    <n v="96.066666666666663"/>
    <n v="9.1843552279069058"/>
    <n v="0.95"/>
    <n v="5.0861263963896395"/>
    <n v="82"/>
    <n v="116"/>
  </r>
  <r>
    <x v="0"/>
    <s v="2025-06-18 23:52:34"/>
    <n v="14"/>
    <x v="1"/>
    <x v="1"/>
    <x v="0"/>
    <n v="94"/>
    <n v="0"/>
    <s v="Unnamed ProjectEntity 1.NumberOutNumber OutEntity"/>
    <n v="15"/>
    <n v="95.2"/>
    <n v="9.3059120993054751"/>
    <n v="0.95"/>
    <n v="5.1534423480205414"/>
    <n v="81"/>
    <n v="116"/>
  </r>
  <r>
    <x v="0"/>
    <s v="2025-06-18 23:52:34"/>
    <n v="14"/>
    <x v="2"/>
    <x v="2"/>
    <x v="1"/>
    <n v="96"/>
    <n v="0"/>
    <s v="Unnamed ProjectGise.NumberSeizedTotal Number SeizedResource"/>
    <n v="15"/>
    <n v="96.066666666666663"/>
    <n v="9.1843552279069058"/>
    <n v="0.95"/>
    <n v="5.0861263963896395"/>
    <n v="82"/>
    <n v="116"/>
  </r>
  <r>
    <x v="0"/>
    <s v="2025-06-18 23:52:34"/>
    <n v="14"/>
    <x v="3"/>
    <x v="3"/>
    <x v="1"/>
    <n v="0.348186854958833"/>
    <n v="0"/>
    <s v="Unnamed ProjectGise.ScheduledUtilizationScheduled UtilizationResource"/>
    <n v="15"/>
    <n v="0.35538558845326462"/>
    <n v="3.5995680767676681E-2"/>
    <n v="0.95"/>
    <n v="1.9933743585200857E-2"/>
    <n v="0.29520999449618501"/>
    <n v="0.43628573463419201"/>
  </r>
  <r>
    <x v="0"/>
    <s v="2025-06-18 23:52:34"/>
    <n v="14"/>
    <x v="4"/>
    <x v="1"/>
    <x v="2"/>
    <n v="94"/>
    <n v="0"/>
    <s v="Unnamed ProjectSystem.NumberOutNumber OutSystem"/>
    <n v="15"/>
    <n v="95.2"/>
    <n v="9.3059120993054751"/>
    <n v="0.95"/>
    <n v="5.1534423480205414"/>
    <n v="81"/>
    <n v="116"/>
  </r>
  <r>
    <x v="0"/>
    <s v="2025-06-18 23:52:34"/>
    <n v="15"/>
    <x v="0"/>
    <x v="0"/>
    <x v="0"/>
    <n v="87"/>
    <n v="0"/>
    <s v="Unnamed ProjectEntity 1.NumberInNumber InEntity"/>
    <n v="15"/>
    <n v="96.066666666666663"/>
    <n v="9.1843552279069058"/>
    <n v="0.95"/>
    <n v="5.0861263963896395"/>
    <n v="82"/>
    <n v="116"/>
  </r>
  <r>
    <x v="0"/>
    <s v="2025-06-18 23:52:34"/>
    <n v="15"/>
    <x v="1"/>
    <x v="1"/>
    <x v="0"/>
    <n v="86"/>
    <n v="0"/>
    <s v="Unnamed ProjectEntity 1.NumberOutNumber OutEntity"/>
    <n v="15"/>
    <n v="95.2"/>
    <n v="9.3059120993054751"/>
    <n v="0.95"/>
    <n v="5.1534423480205414"/>
    <n v="81"/>
    <n v="116"/>
  </r>
  <r>
    <x v="0"/>
    <s v="2025-06-18 23:52:34"/>
    <n v="15"/>
    <x v="2"/>
    <x v="2"/>
    <x v="1"/>
    <n v="87"/>
    <n v="0"/>
    <s v="Unnamed ProjectGise.NumberSeizedTotal Number SeizedResource"/>
    <n v="15"/>
    <n v="96.066666666666663"/>
    <n v="9.1843552279069058"/>
    <n v="0.95"/>
    <n v="5.0861263963896395"/>
    <n v="82"/>
    <n v="116"/>
  </r>
  <r>
    <x v="0"/>
    <s v="2025-06-18 23:52:34"/>
    <n v="15"/>
    <x v="3"/>
    <x v="3"/>
    <x v="1"/>
    <n v="0.32155420871849999"/>
    <n v="0"/>
    <s v="Unnamed ProjectGise.ScheduledUtilizationScheduled UtilizationResource"/>
    <n v="15"/>
    <n v="0.35538558845326462"/>
    <n v="3.5995680767676681E-2"/>
    <n v="0.95"/>
    <n v="1.9933743585200857E-2"/>
    <n v="0.29520999449618501"/>
    <n v="0.43628573463419201"/>
  </r>
  <r>
    <x v="0"/>
    <s v="2025-06-18 23:52:34"/>
    <n v="15"/>
    <x v="4"/>
    <x v="1"/>
    <x v="2"/>
    <n v="86"/>
    <n v="0"/>
    <s v="Unnamed ProjectSystem.NumberOutNumber OutSystem"/>
    <n v="15"/>
    <n v="95.2"/>
    <n v="9.3059120993054751"/>
    <n v="0.95"/>
    <n v="5.1534423480205414"/>
    <n v="81"/>
    <n v="1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23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23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6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x="0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5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1"/>
        <item x="2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"/>
      <x v="4"/>
      <x/>
    </i>
    <i r="1">
      <x v="124"/>
      <x/>
      <x v="2"/>
    </i>
    <i r="2">
      <x v="1"/>
      <x v="2"/>
    </i>
    <i r="2">
      <x v="2"/>
      <x v="2"/>
    </i>
    <i r="1">
      <x v="125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24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52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25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0">
        <item m="1" x="12"/>
        <item m="1" x="35"/>
        <item m="1" x="7"/>
        <item m="1" x="87"/>
        <item m="1" x="70"/>
        <item m="1" x="40"/>
        <item m="1" x="96"/>
        <item m="1" x="28"/>
        <item m="1" x="32"/>
        <item x="0"/>
        <item m="1" x="65"/>
        <item m="1" x="77"/>
        <item m="1" x="82"/>
        <item m="1" x="6"/>
        <item m="1" x="34"/>
        <item m="1" x="24"/>
        <item m="1" x="99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99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25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1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x="0"/>
        <item x="1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7"/>
        <item m="1" x="19"/>
        <item m="1" x="80"/>
        <item m="1" x="47"/>
        <item m="1" x="14"/>
        <item m="1" x="75"/>
        <item m="1" x="71"/>
        <item m="1" x="48"/>
        <item m="1" x="15"/>
        <item m="1" x="76"/>
        <item m="1" x="72"/>
        <item m="1" x="10"/>
        <item m="1" x="44"/>
        <item m="1" x="28"/>
        <item m="1" x="18"/>
        <item m="1" x="69"/>
        <item m="1" x="40"/>
        <item m="1" x="70"/>
        <item m="1" x="41"/>
        <item m="1" x="27"/>
        <item m="1" x="22"/>
        <item m="1" x="49"/>
        <item m="1" x="24"/>
        <item m="1" x="79"/>
        <item m="1" x="73"/>
        <item m="1" x="23"/>
        <item m="1" x="21"/>
        <item m="1" x="66"/>
        <item m="1" x="74"/>
        <item m="1" x="11"/>
        <item m="1" x="29"/>
        <item m="1" x="42"/>
        <item m="1" x="63"/>
        <item m="1" x="78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2"/>
        <item x="3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15"/>
      <x/>
      <x/>
    </i>
    <i r="1">
      <x v="16"/>
      <x v="1"/>
      <x/>
    </i>
    <i r="1">
      <x v="79"/>
      <x v="3"/>
      <x v="1"/>
    </i>
    <i r="1">
      <x v="80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06" tableType="queryTable" totalsRowShown="0">
  <autoFilter ref="A1:Y106" xr:uid="{C3D003CA-1AFF-426C-A03D-D3AF5760DF1A}"/>
  <sortState xmlns:xlrd2="http://schemas.microsoft.com/office/spreadsheetml/2017/richdata2" ref="A2:Y106">
    <sortCondition ref="D1:D106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30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29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28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27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26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25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24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23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22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21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20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19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18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17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76" tableType="queryTable" totalsRowShown="0">
  <autoFilter ref="A1:U7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16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15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14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13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12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11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10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9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8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76" tableType="queryTable" totalsRowShown="0">
  <autoFilter ref="A1:P7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4.4" x14ac:dyDescent="0.3"/>
  <cols>
    <col min="1" max="1" width="15.21875" bestFit="1" customWidth="1"/>
    <col min="2" max="2" width="60.21875" bestFit="1" customWidth="1"/>
    <col min="3" max="3" width="18.109375" bestFit="1" customWidth="1"/>
    <col min="4" max="4" width="11.6640625" bestFit="1" customWidth="1"/>
    <col min="5" max="5" width="22.44140625" bestFit="1" customWidth="1"/>
    <col min="6" max="6" width="24.21875" bestFit="1" customWidth="1"/>
    <col min="7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68</v>
      </c>
      <c r="C2" t="s">
        <v>69</v>
      </c>
      <c r="D2">
        <v>2</v>
      </c>
      <c r="E2">
        <v>15</v>
      </c>
      <c r="F2">
        <v>480</v>
      </c>
      <c r="G2">
        <f>0.95</f>
        <v>0.95</v>
      </c>
    </row>
  </sheetData>
  <phoneticPr fontId="2" type="noConversion"/>
  <conditionalFormatting sqref="D2">
    <cfRule type="expression" dxfId="67" priority="1">
      <formula>D2=3</formula>
    </cfRule>
    <cfRule type="expression" dxfId="66" priority="2">
      <formula>D2=2</formula>
    </cfRule>
    <cfRule type="expression" dxfId="65" priority="3">
      <formula>D2=1</formula>
    </cfRule>
    <cfRule type="expression" dxfId="64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4.4" x14ac:dyDescent="0.3"/>
  <cols>
    <col min="1" max="1" width="33.33203125" customWidth="1"/>
    <col min="2" max="2" width="28.6640625" bestFit="1" customWidth="1"/>
    <col min="3" max="3" width="12.5546875" bestFit="1" customWidth="1"/>
    <col min="4" max="4" width="9" bestFit="1" customWidth="1"/>
    <col min="5" max="5" width="28.6640625" bestFit="1" customWidth="1"/>
    <col min="6" max="6" width="19.5546875" bestFit="1" customWidth="1"/>
    <col min="7" max="7" width="12" bestFit="1" customWidth="1"/>
    <col min="8" max="8" width="26.6640625" bestFit="1" customWidth="1"/>
    <col min="9" max="9" width="26.77734375" bestFit="1" customWidth="1"/>
    <col min="10" max="10" width="27.109375" bestFit="1" customWidth="1"/>
    <col min="11" max="11" width="16" bestFit="1" customWidth="1"/>
    <col min="12" max="12" width="16.33203125" bestFit="1" customWidth="1"/>
    <col min="13" max="13" width="29.10937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546875" bestFit="1" customWidth="1"/>
    <col min="18" max="18" width="9" bestFit="1" customWidth="1"/>
    <col min="19" max="19" width="28.6640625" bestFit="1" customWidth="1"/>
    <col min="20" max="20" width="12" bestFit="1" customWidth="1"/>
    <col min="21" max="21" width="26.6640625" bestFit="1" customWidth="1"/>
    <col min="22" max="22" width="21.77734375" bestFit="1" customWidth="1"/>
    <col min="23" max="23" width="22.109375" bestFit="1" customWidth="1"/>
    <col min="24" max="24" width="16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9" bestFit="1" customWidth="1"/>
    <col min="31" max="31" width="24.6640625" bestFit="1" customWidth="1"/>
    <col min="32" max="32" width="10.109375" bestFit="1" customWidth="1"/>
    <col min="33" max="33" width="29.109375" bestFit="1" customWidth="1"/>
    <col min="34" max="34" width="19.5546875" bestFit="1" customWidth="1"/>
    <col min="35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6640625" bestFit="1" customWidth="1"/>
    <col min="42" max="42" width="12" bestFit="1" customWidth="1"/>
    <col min="43" max="43" width="29.109375" bestFit="1" customWidth="1"/>
    <col min="44" max="44" width="19.5546875" bestFit="1" customWidth="1"/>
    <col min="45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9" bestFit="1" customWidth="1"/>
    <col min="51" max="51" width="26.33203125" bestFit="1" customWidth="1"/>
    <col min="52" max="53" width="27" bestFit="1" customWidth="1"/>
    <col min="54" max="54" width="24.88671875" bestFit="1" customWidth="1"/>
    <col min="55" max="55" width="29.33203125" bestFit="1" customWidth="1"/>
    <col min="56" max="56" width="31.88671875" bestFit="1" customWidth="1"/>
    <col min="57" max="57" width="21.6640625" bestFit="1" customWidth="1"/>
  </cols>
  <sheetData>
    <row r="1" spans="1:52" ht="18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95.2</v>
      </c>
      <c r="O3" t="s">
        <v>66</v>
      </c>
      <c r="P3" t="s">
        <v>70</v>
      </c>
      <c r="Q3" t="s">
        <v>81</v>
      </c>
      <c r="R3" t="s">
        <v>72</v>
      </c>
      <c r="S3" s="5">
        <v>1.1020792054910398</v>
      </c>
      <c r="T3" s="5">
        <v>7.0208567115518081E-2</v>
      </c>
      <c r="U3" s="5">
        <v>0.1267802587228237</v>
      </c>
      <c r="V3" s="5">
        <v>0.90784484322507997</v>
      </c>
      <c r="W3" s="5">
        <v>1.41033627462843</v>
      </c>
      <c r="X3" s="5">
        <v>0</v>
      </c>
      <c r="Y3" s="5">
        <v>7</v>
      </c>
      <c r="AA3" t="s">
        <v>98</v>
      </c>
      <c r="AB3" t="s">
        <v>98</v>
      </c>
      <c r="AC3" t="s">
        <v>98</v>
      </c>
      <c r="AD3" t="s">
        <v>98</v>
      </c>
      <c r="AE3" s="5"/>
      <c r="AF3" s="5"/>
      <c r="AG3" s="5"/>
      <c r="AH3" s="5"/>
      <c r="AI3" s="5"/>
      <c r="AK3" t="s">
        <v>66</v>
      </c>
      <c r="AL3" t="s">
        <v>96</v>
      </c>
      <c r="AM3" t="s">
        <v>91</v>
      </c>
      <c r="AN3" t="s">
        <v>97</v>
      </c>
      <c r="AO3" s="5">
        <v>95.2</v>
      </c>
      <c r="AP3" s="5">
        <v>5.1534423480205414</v>
      </c>
      <c r="AQ3" s="5">
        <v>9.3059120993054751</v>
      </c>
      <c r="AR3" s="5">
        <v>81</v>
      </c>
      <c r="AS3" s="5">
        <v>116</v>
      </c>
      <c r="AU3" t="s">
        <v>98</v>
      </c>
      <c r="AV3" t="s">
        <v>98</v>
      </c>
      <c r="AW3" t="s">
        <v>98</v>
      </c>
      <c r="AX3" t="s">
        <v>98</v>
      </c>
      <c r="AY3" s="4"/>
      <c r="AZ3" s="4"/>
    </row>
    <row r="4" spans="1:52" x14ac:dyDescent="0.3">
      <c r="C4" t="s">
        <v>73</v>
      </c>
      <c r="D4" t="s">
        <v>72</v>
      </c>
      <c r="E4" s="5">
        <v>5.346138634385782</v>
      </c>
      <c r="F4" s="5">
        <v>1</v>
      </c>
      <c r="G4" s="5">
        <v>9.7522870955749352E-2</v>
      </c>
      <c r="H4" s="5">
        <v>0.17610350587014989</v>
      </c>
      <c r="I4" s="5">
        <v>5.0010572981560202</v>
      </c>
      <c r="J4" s="5">
        <v>5.6044026436086396</v>
      </c>
      <c r="K4" s="5">
        <v>2.2000089245025798</v>
      </c>
      <c r="L4" s="5">
        <v>9.8782374302471094</v>
      </c>
      <c r="M4" s="5">
        <v>95.2</v>
      </c>
      <c r="P4" t="s">
        <v>82</v>
      </c>
      <c r="Q4" t="s">
        <v>83</v>
      </c>
      <c r="R4" t="s">
        <v>84</v>
      </c>
      <c r="S4" s="5">
        <v>0.35538558845326457</v>
      </c>
      <c r="T4" s="5">
        <v>1.9933743585200864E-2</v>
      </c>
      <c r="U4" s="5">
        <v>3.5995680767676695E-2</v>
      </c>
      <c r="V4" s="5">
        <v>0.29520999449618501</v>
      </c>
      <c r="W4" s="5">
        <v>0.43628573463419201</v>
      </c>
      <c r="X4" s="5">
        <v>0</v>
      </c>
      <c r="Y4" s="5">
        <v>1</v>
      </c>
      <c r="AL4" t="s">
        <v>88</v>
      </c>
      <c r="AM4" t="s">
        <v>89</v>
      </c>
      <c r="AN4" t="s">
        <v>72</v>
      </c>
      <c r="AO4" s="5">
        <v>96.066666666666663</v>
      </c>
      <c r="AP4" s="5">
        <v>5.0861263963896395</v>
      </c>
      <c r="AQ4" s="5">
        <v>9.1843552279069058</v>
      </c>
      <c r="AR4" s="5">
        <v>82</v>
      </c>
      <c r="AS4" s="5">
        <v>116</v>
      </c>
    </row>
    <row r="5" spans="1:52" x14ac:dyDescent="0.3">
      <c r="C5" t="s">
        <v>74</v>
      </c>
      <c r="D5" t="s">
        <v>72</v>
      </c>
      <c r="E5" s="5">
        <v>5.5213045410337314</v>
      </c>
      <c r="F5" s="5">
        <v>1</v>
      </c>
      <c r="G5" s="5">
        <v>0.12025444225983377</v>
      </c>
      <c r="H5" s="5">
        <v>0.21715140941682623</v>
      </c>
      <c r="I5" s="5">
        <v>5.1279993537933004</v>
      </c>
      <c r="J5" s="5">
        <v>5.8751548496606301</v>
      </c>
      <c r="K5" s="5">
        <v>2.2298426260786299</v>
      </c>
      <c r="L5" s="5">
        <v>14.372657531026899</v>
      </c>
      <c r="M5" s="5">
        <v>95.2</v>
      </c>
      <c r="Q5" t="s">
        <v>85</v>
      </c>
      <c r="R5" t="s">
        <v>84</v>
      </c>
      <c r="S5" s="5">
        <v>1.0661567653597936</v>
      </c>
      <c r="T5" s="5">
        <v>5.9801230755602848E-2</v>
      </c>
      <c r="U5" s="5">
        <v>0.10798704230303055</v>
      </c>
      <c r="V5" s="5">
        <v>0.88562998348855504</v>
      </c>
      <c r="W5" s="5">
        <v>1.3088572039025801</v>
      </c>
      <c r="X5" s="5">
        <v>0</v>
      </c>
      <c r="Y5" s="5">
        <v>3</v>
      </c>
      <c r="AL5" t="s">
        <v>90</v>
      </c>
      <c r="AM5" t="s">
        <v>91</v>
      </c>
      <c r="AN5" t="s">
        <v>72</v>
      </c>
      <c r="AO5" s="5">
        <v>95.2</v>
      </c>
      <c r="AP5" s="5">
        <v>5.1534423480205414</v>
      </c>
      <c r="AQ5" s="5">
        <v>9.3059120993054751</v>
      </c>
      <c r="AR5" s="5">
        <v>81</v>
      </c>
      <c r="AS5" s="5">
        <v>116</v>
      </c>
    </row>
    <row r="6" spans="1:52" x14ac:dyDescent="0.3">
      <c r="C6" t="s">
        <v>75</v>
      </c>
      <c r="D6" t="s">
        <v>72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95.2</v>
      </c>
      <c r="Q6" t="s">
        <v>86</v>
      </c>
      <c r="R6" t="s">
        <v>84</v>
      </c>
      <c r="S6" s="5">
        <v>3</v>
      </c>
      <c r="T6" s="5">
        <v>0</v>
      </c>
      <c r="U6" s="5">
        <v>0</v>
      </c>
      <c r="V6" s="5">
        <v>3</v>
      </c>
      <c r="W6" s="5">
        <v>3</v>
      </c>
      <c r="X6" s="5">
        <v>3</v>
      </c>
      <c r="Y6" s="5">
        <v>3</v>
      </c>
      <c r="AL6" t="s">
        <v>92</v>
      </c>
      <c r="AM6" t="s">
        <v>93</v>
      </c>
      <c r="AN6" t="s">
        <v>84</v>
      </c>
      <c r="AO6" s="5">
        <v>96.066666666666663</v>
      </c>
      <c r="AP6" s="5">
        <v>5.0861263963896395</v>
      </c>
      <c r="AQ6" s="5">
        <v>9.1843552279069058</v>
      </c>
      <c r="AR6" s="5">
        <v>82</v>
      </c>
      <c r="AS6" s="5">
        <v>116</v>
      </c>
    </row>
    <row r="7" spans="1:52" x14ac:dyDescent="0.3">
      <c r="C7" t="s">
        <v>76</v>
      </c>
      <c r="D7" t="s">
        <v>72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95.2</v>
      </c>
      <c r="P7" t="s">
        <v>78</v>
      </c>
      <c r="Q7" t="s">
        <v>87</v>
      </c>
      <c r="R7" t="s">
        <v>80</v>
      </c>
      <c r="S7" s="5">
        <v>3.5922440131245965E-2</v>
      </c>
      <c r="T7" s="5">
        <v>1.4912177574036362E-2</v>
      </c>
      <c r="U7" s="5">
        <v>2.6927906502440924E-2</v>
      </c>
      <c r="V7" s="5">
        <v>1.73231027184055E-3</v>
      </c>
      <c r="W7" s="5">
        <v>0.10147907072585501</v>
      </c>
      <c r="X7" s="5">
        <v>0</v>
      </c>
      <c r="Y7" s="5">
        <v>4</v>
      </c>
      <c r="AL7" t="s">
        <v>94</v>
      </c>
      <c r="AM7" t="s">
        <v>95</v>
      </c>
      <c r="AN7" t="s">
        <v>84</v>
      </c>
      <c r="AO7" s="5">
        <v>0.35538558845326462</v>
      </c>
      <c r="AP7" s="5">
        <v>1.9933743585200857E-2</v>
      </c>
      <c r="AQ7" s="5">
        <v>3.5995680767676681E-2</v>
      </c>
      <c r="AR7" s="5">
        <v>0.29520999449618501</v>
      </c>
      <c r="AS7" s="5">
        <v>0.43628573463419201</v>
      </c>
    </row>
    <row r="8" spans="1:52" x14ac:dyDescent="0.3">
      <c r="C8" t="s">
        <v>77</v>
      </c>
      <c r="D8" t="s">
        <v>72</v>
      </c>
      <c r="E8" s="5">
        <v>0.17516590664795043</v>
      </c>
      <c r="F8" s="5">
        <v>1</v>
      </c>
      <c r="G8" s="5">
        <v>6.5551456821911144E-2</v>
      </c>
      <c r="H8" s="5">
        <v>0.11837060628036969</v>
      </c>
      <c r="I8" s="5">
        <v>1.02655423516477E-2</v>
      </c>
      <c r="J8" s="5">
        <v>0.42879381521165499</v>
      </c>
      <c r="K8" s="5">
        <v>0</v>
      </c>
      <c r="L8" s="5">
        <v>7.1614883448111302</v>
      </c>
      <c r="M8" s="5">
        <v>95.2</v>
      </c>
    </row>
    <row r="9" spans="1:52" x14ac:dyDescent="0.3">
      <c r="B9" t="s">
        <v>78</v>
      </c>
      <c r="C9" t="s">
        <v>79</v>
      </c>
      <c r="D9" t="s">
        <v>80</v>
      </c>
      <c r="E9" s="5">
        <v>0.17398390854051871</v>
      </c>
      <c r="F9" s="5">
        <v>1</v>
      </c>
      <c r="G9" s="5">
        <v>6.5732252684284578E-2</v>
      </c>
      <c r="H9" s="5">
        <v>0.11869708134102724</v>
      </c>
      <c r="I9" s="5">
        <v>1.0140352810774E-2</v>
      </c>
      <c r="J9" s="5">
        <v>0.42879381521165499</v>
      </c>
      <c r="K9" s="5">
        <v>0</v>
      </c>
      <c r="L9" s="5">
        <v>7.1614883448111302</v>
      </c>
      <c r="M9" s="5">
        <v>96.066666666666663</v>
      </c>
    </row>
  </sheetData>
  <dataConsolidate/>
  <conditionalFormatting pivot="1" sqref="G3:G9">
    <cfRule type="expression" dxfId="63" priority="14">
      <formula>G3=200000000000000000000</formula>
    </cfRule>
  </conditionalFormatting>
  <conditionalFormatting pivot="1" sqref="T3:T7">
    <cfRule type="expression" dxfId="62" priority="13">
      <formula>T3=200000000000000000000</formula>
    </cfRule>
  </conditionalFormatting>
  <conditionalFormatting pivot="1" sqref="T3:T7">
    <cfRule type="expression" dxfId="61" priority="12">
      <formula>T3=300000000000000000000</formula>
    </cfRule>
  </conditionalFormatting>
  <conditionalFormatting pivot="1" sqref="G3:G9">
    <cfRule type="expression" dxfId="60" priority="11">
      <formula>G3=300000000000000000000</formula>
    </cfRule>
  </conditionalFormatting>
  <conditionalFormatting pivot="1" sqref="F3:F9">
    <cfRule type="expression" dxfId="59" priority="10">
      <formula>F3=0</formula>
    </cfRule>
  </conditionalFormatting>
  <conditionalFormatting pivot="1" sqref="F3:F9">
    <cfRule type="expression" dxfId="58" priority="9">
      <formula>F3=1</formula>
    </cfRule>
  </conditionalFormatting>
  <conditionalFormatting pivot="1" sqref="T3:T7">
    <cfRule type="expression" dxfId="57" priority="8">
      <formula>T3=400000000000000000000</formula>
    </cfRule>
  </conditionalFormatting>
  <conditionalFormatting pivot="1" sqref="AP3:AP7">
    <cfRule type="expression" dxfId="56" priority="7">
      <formula>AP3=400000000000000000000</formula>
    </cfRule>
  </conditionalFormatting>
  <conditionalFormatting pivot="1" sqref="AF3">
    <cfRule type="expression" dxfId="55" priority="6">
      <formula>AF3=400000000000000000000</formula>
    </cfRule>
  </conditionalFormatting>
  <conditionalFormatting pivot="1" sqref="G3:G9">
    <cfRule type="expression" dxfId="54" priority="5">
      <formula>G3=400000000000000000000</formula>
    </cfRule>
  </conditionalFormatting>
  <conditionalFormatting pivot="1" sqref="AZ3">
    <cfRule type="expression" dxfId="53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06"/>
  <sheetViews>
    <sheetView workbookViewId="0">
      <selection activeCell="A2" sqref="A2:K6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14.44140625" bestFit="1" customWidth="1"/>
    <col min="5" max="5" width="12.21875" bestFit="1" customWidth="1"/>
    <col min="6" max="6" width="9" bestFit="1" customWidth="1"/>
    <col min="7" max="7" width="12" bestFit="1" customWidth="1"/>
    <col min="8" max="8" width="22.33203125" bestFit="1" customWidth="1"/>
    <col min="9" max="10" width="12" bestFit="1" customWidth="1"/>
    <col min="11" max="11" width="21.33203125" bestFit="1" customWidth="1"/>
    <col min="12" max="12" width="45.33203125" bestFit="1" customWidth="1"/>
    <col min="13" max="13" width="16.21875" bestFit="1" customWidth="1"/>
    <col min="14" max="14" width="19.109375" customWidth="1"/>
    <col min="15" max="15" width="17.109375" bestFit="1" customWidth="1"/>
    <col min="16" max="16" width="19.44140625" bestFit="1" customWidth="1"/>
    <col min="17" max="17" width="12" bestFit="1" customWidth="1"/>
    <col min="18" max="18" width="18.44140625" bestFit="1" customWidth="1"/>
    <col min="19" max="19" width="18.77734375" bestFit="1" customWidth="1"/>
    <col min="20" max="20" width="17.44140625" customWidth="1"/>
    <col min="21" max="21" width="17.77734375" bestFit="1" customWidth="1"/>
    <col min="22" max="22" width="28.44140625" bestFit="1" customWidth="1"/>
    <col min="23" max="23" width="20" bestFit="1" customWidth="1"/>
    <col min="24" max="24" width="22.77734375" bestFit="1" customWidth="1"/>
    <col min="25" max="25" width="21.332031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89</v>
      </c>
      <c r="L2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15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95.2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15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5.6044026436086396</v>
      </c>
      <c r="H3">
        <v>2E+20</v>
      </c>
      <c r="I3">
        <v>2.2225743665801998</v>
      </c>
      <c r="J3">
        <v>9.4718208232003995</v>
      </c>
      <c r="K3">
        <v>89</v>
      </c>
      <c r="L3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15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5.346138634385782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0.17610350587014989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9.7522870955749352E-2</v>
      </c>
      <c r="R3" cm="1">
        <f t="array" ref="R3">MIN(IF((DiscreteStatsTable[GroupByKey]=DiscreteStatsTable[[#This Row],[GroupByKey]]),(DiscreteStatsTable[GroupByKey]=DiscreteStatsTable[[#This Row],[GroupByKey]])*DiscreteStatsTable[Average]))</f>
        <v>5.0010572981560202</v>
      </c>
      <c r="S3" cm="1">
        <f t="array" ref="S3">MAX(IF((DiscreteStatsTable[GroupByKey]=DiscreteStatsTable[[#This Row],[GroupByKey]]),(DiscreteStatsTable[GroupByKey]=DiscreteStatsTable[[#This Row],[GroupByKey]])*DiscreteStatsTable[Average]))</f>
        <v>5.6044026436086396</v>
      </c>
      <c r="T3" cm="1">
        <f t="array" ref="T3">MIN(IF((DiscreteStatsTable[GroupByKey]=DiscreteStatsTable[[#This Row],[GroupByKey]]),(DiscreteStatsTable[GroupByKey]=DiscreteStatsTable[[#This Row],[GroupByKey]])*DiscreteStatsTable[Minimum]))</f>
        <v>2.2000089245025798</v>
      </c>
      <c r="U3" cm="1">
        <f t="array" ref="U3">MAX(IF((DiscreteStatsTable[GroupByKey]=DiscreteStatsTable[[#This Row],[GroupByKey]]),(DiscreteStatsTable[GroupByKey]=DiscreteStatsTable[[#This Row],[GroupByKey]])*DiscreteStatsTable[Maximum]))</f>
        <v>9.8782374302471094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95.2</v>
      </c>
      <c r="W3">
        <f>IF((DiscreteStatsTable[[#This Row],[RepsRequested]]&gt;1),DiscreteStatsTable[[#This Row],[HalfWidth]],DiscreteStatsTable[[#This Row],[BatchMeansHalfWidth]])</f>
        <v>9.7522870955749352E-2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15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5.7884130403224496</v>
      </c>
      <c r="H4">
        <v>2E+20</v>
      </c>
      <c r="I4">
        <v>2.4472941910622699</v>
      </c>
      <c r="J4">
        <v>12.1071326045513</v>
      </c>
      <c r="K4">
        <v>89</v>
      </c>
      <c r="L4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15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5.5213045410337314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0.21715140941682623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0.12025444225983377</v>
      </c>
      <c r="R4" cm="1">
        <f t="array" ref="R4">MIN(IF((DiscreteStatsTable[GroupByKey]=DiscreteStatsTable[[#This Row],[GroupByKey]]),(DiscreteStatsTable[GroupByKey]=DiscreteStatsTable[[#This Row],[GroupByKey]])*DiscreteStatsTable[Average]))</f>
        <v>5.1279993537933004</v>
      </c>
      <c r="S4" cm="1">
        <f t="array" ref="S4">MAX(IF((DiscreteStatsTable[GroupByKey]=DiscreteStatsTable[[#This Row],[GroupByKey]]),(DiscreteStatsTable[GroupByKey]=DiscreteStatsTable[[#This Row],[GroupByKey]])*DiscreteStatsTable[Average]))</f>
        <v>5.8751548496606301</v>
      </c>
      <c r="T4" cm="1">
        <f t="array" ref="T4">MIN(IF((DiscreteStatsTable[GroupByKey]=DiscreteStatsTable[[#This Row],[GroupByKey]]),(DiscreteStatsTable[GroupByKey]=DiscreteStatsTable[[#This Row],[GroupByKey]])*DiscreteStatsTable[Minimum]))</f>
        <v>2.2298426260786299</v>
      </c>
      <c r="U4" cm="1">
        <f t="array" ref="U4">MAX(IF((DiscreteStatsTable[GroupByKey]=DiscreteStatsTable[[#This Row],[GroupByKey]]),(DiscreteStatsTable[GroupByKey]=DiscreteStatsTable[[#This Row],[GroupByKey]])*DiscreteStatsTable[Maximum]))</f>
        <v>14.372657531026899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95.2</v>
      </c>
      <c r="W4">
        <f>IF((DiscreteStatsTable[[#This Row],[RepsRequested]]&gt;1),DiscreteStatsTable[[#This Row],[HalfWidth]],DiscreteStatsTable[[#This Row],[BatchMeansHalfWidth]])</f>
        <v>0.12025444225983377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15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</v>
      </c>
      <c r="H5">
        <v>2E+20</v>
      </c>
      <c r="I5">
        <v>0</v>
      </c>
      <c r="J5">
        <v>0</v>
      </c>
      <c r="K5">
        <v>89</v>
      </c>
      <c r="L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15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95.2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15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0</v>
      </c>
      <c r="H6">
        <v>2E+20</v>
      </c>
      <c r="I6">
        <v>0</v>
      </c>
      <c r="J6">
        <v>0</v>
      </c>
      <c r="K6">
        <v>89</v>
      </c>
      <c r="L6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15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95.2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15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0.18401039671380801</v>
      </c>
      <c r="H7">
        <v>2E+20</v>
      </c>
      <c r="I7">
        <v>0</v>
      </c>
      <c r="J7">
        <v>3.8121797026004698</v>
      </c>
      <c r="K7">
        <v>89</v>
      </c>
      <c r="L7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15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0.17516590664795043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0.11837060628036969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6.5551456821911144E-2</v>
      </c>
      <c r="R7" cm="1">
        <f t="array" ref="R7">MIN(IF((DiscreteStatsTable[GroupByKey]=DiscreteStatsTable[[#This Row],[GroupByKey]]),(DiscreteStatsTable[GroupByKey]=DiscreteStatsTable[[#This Row],[GroupByKey]])*DiscreteStatsTable[Average]))</f>
        <v>1.02655423516477E-2</v>
      </c>
      <c r="S7" cm="1">
        <f t="array" ref="S7">MAX(IF((DiscreteStatsTable[GroupByKey]=DiscreteStatsTable[[#This Row],[GroupByKey]]),(DiscreteStatsTable[GroupByKey]=DiscreteStatsTable[[#This Row],[GroupByKey]])*DiscreteStatsTable[Average]))</f>
        <v>0.42879381521165499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7.1614883448111302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95.2</v>
      </c>
      <c r="W7">
        <f>IF((DiscreteStatsTable[[#This Row],[RepsRequested]]&gt;1),DiscreteStatsTable[[#This Row],[HalfWidth]],DiscreteStatsTable[[#This Row],[BatchMeansHalfWidth]])</f>
        <v>6.5551456821911144E-2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15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69</v>
      </c>
      <c r="C8">
        <v>2</v>
      </c>
      <c r="D8" t="s">
        <v>70</v>
      </c>
      <c r="E8" t="s">
        <v>71</v>
      </c>
      <c r="F8" t="s">
        <v>72</v>
      </c>
      <c r="G8">
        <v>0</v>
      </c>
      <c r="H8">
        <v>2E+20</v>
      </c>
      <c r="I8">
        <v>0</v>
      </c>
      <c r="J8">
        <v>0</v>
      </c>
      <c r="K8">
        <v>104</v>
      </c>
      <c r="L8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15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95.2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15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69</v>
      </c>
      <c r="C9">
        <v>2</v>
      </c>
      <c r="D9" t="s">
        <v>70</v>
      </c>
      <c r="E9" t="s">
        <v>73</v>
      </c>
      <c r="F9" t="s">
        <v>72</v>
      </c>
      <c r="G9">
        <v>5.4433571356663801</v>
      </c>
      <c r="H9">
        <v>2E+20</v>
      </c>
      <c r="I9">
        <v>2.6239264001902098</v>
      </c>
      <c r="J9">
        <v>9.8782374302471094</v>
      </c>
      <c r="K9">
        <v>104</v>
      </c>
      <c r="L9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15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5.346138634385782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0.17610350587014989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9.7522870955749352E-2</v>
      </c>
      <c r="R9" cm="1">
        <f t="array" ref="R9">MIN(IF((DiscreteStatsTable[GroupByKey]=DiscreteStatsTable[[#This Row],[GroupByKey]]),(DiscreteStatsTable[GroupByKey]=DiscreteStatsTable[[#This Row],[GroupByKey]])*DiscreteStatsTable[Average]))</f>
        <v>5.0010572981560202</v>
      </c>
      <c r="S9" cm="1">
        <f t="array" ref="S9">MAX(IF((DiscreteStatsTable[GroupByKey]=DiscreteStatsTable[[#This Row],[GroupByKey]]),(DiscreteStatsTable[GroupByKey]=DiscreteStatsTable[[#This Row],[GroupByKey]])*DiscreteStatsTable[Average]))</f>
        <v>5.6044026436086396</v>
      </c>
      <c r="T9" cm="1">
        <f t="array" ref="T9">MIN(IF((DiscreteStatsTable[GroupByKey]=DiscreteStatsTable[[#This Row],[GroupByKey]]),(DiscreteStatsTable[GroupByKey]=DiscreteStatsTable[[#This Row],[GroupByKey]])*DiscreteStatsTable[Minimum]))</f>
        <v>2.2000089245025798</v>
      </c>
      <c r="U9" cm="1">
        <f t="array" ref="U9">MAX(IF((DiscreteStatsTable[GroupByKey]=DiscreteStatsTable[[#This Row],[GroupByKey]]),(DiscreteStatsTable[GroupByKey]=DiscreteStatsTable[[#This Row],[GroupByKey]])*DiscreteStatsTable[Maximum]))</f>
        <v>9.8782374302471094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95.2</v>
      </c>
      <c r="W9">
        <f>IF((DiscreteStatsTable[[#This Row],[RepsRequested]]&gt;1),DiscreteStatsTable[[#This Row],[HalfWidth]],DiscreteStatsTable[[#This Row],[BatchMeansHalfWidth]])</f>
        <v>9.7522870955749352E-2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15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69</v>
      </c>
      <c r="C10">
        <v>2</v>
      </c>
      <c r="D10" t="s">
        <v>70</v>
      </c>
      <c r="E10" t="s">
        <v>74</v>
      </c>
      <c r="F10" t="s">
        <v>72</v>
      </c>
      <c r="G10">
        <v>5.6482240939788397</v>
      </c>
      <c r="H10">
        <v>2E+20</v>
      </c>
      <c r="I10">
        <v>2.6239264001902098</v>
      </c>
      <c r="J10">
        <v>10.9518145818087</v>
      </c>
      <c r="K10">
        <v>104</v>
      </c>
      <c r="L10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15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5.5213045410337314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0.21715140941682623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0.12025444225983377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5.1279993537933004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5.8751548496606301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2.2298426260786299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14.372657531026899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95.2</v>
      </c>
      <c r="W10">
        <f>IF((DiscreteStatsTable[[#This Row],[RepsRequested]]&gt;1),DiscreteStatsTable[[#This Row],[HalfWidth]],DiscreteStatsTable[[#This Row],[BatchMeansHalfWidth]])</f>
        <v>0.12025444225983377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15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69</v>
      </c>
      <c r="C11">
        <v>2</v>
      </c>
      <c r="D11" t="s">
        <v>70</v>
      </c>
      <c r="E11" t="s">
        <v>75</v>
      </c>
      <c r="F11" t="s">
        <v>72</v>
      </c>
      <c r="G11">
        <v>0</v>
      </c>
      <c r="H11">
        <v>2E+20</v>
      </c>
      <c r="I11">
        <v>0</v>
      </c>
      <c r="J11">
        <v>0</v>
      </c>
      <c r="K11">
        <v>104</v>
      </c>
      <c r="L11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15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95.2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15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69</v>
      </c>
      <c r="C12">
        <v>2</v>
      </c>
      <c r="D12" t="s">
        <v>70</v>
      </c>
      <c r="E12" t="s">
        <v>76</v>
      </c>
      <c r="F12" t="s">
        <v>72</v>
      </c>
      <c r="G12">
        <v>0</v>
      </c>
      <c r="H12">
        <v>2E+20</v>
      </c>
      <c r="I12">
        <v>0</v>
      </c>
      <c r="J12">
        <v>0</v>
      </c>
      <c r="K12">
        <v>104</v>
      </c>
      <c r="L12" t="str">
        <f>DiscreteStatsTable[[#This Row],[ProjectName]]&amp;DiscreteStatsTable[[#This Row],[Name]]&amp;DiscreteStatsTable[[#This Row],[Type]]&amp;DiscreteStatsTable[[#This Row],[Source]]</f>
        <v>Unnamed ProjectEntity 1VA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15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95.2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15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69</v>
      </c>
      <c r="C13">
        <v>2</v>
      </c>
      <c r="D13" t="s">
        <v>70</v>
      </c>
      <c r="E13" t="s">
        <v>77</v>
      </c>
      <c r="F13" t="s">
        <v>72</v>
      </c>
      <c r="G13">
        <v>0.20486695831246099</v>
      </c>
      <c r="H13">
        <v>2E+20</v>
      </c>
      <c r="I13">
        <v>0</v>
      </c>
      <c r="J13">
        <v>4.6993026119143098</v>
      </c>
      <c r="K13">
        <v>104</v>
      </c>
      <c r="L13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15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0.17516590664795043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0.11837060628036969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6.5551456821911144E-2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1.02655423516477E-2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0.42879381521165499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7.1614883448111302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95.2</v>
      </c>
      <c r="W13">
        <f>IF((DiscreteStatsTable[[#This Row],[RepsRequested]]&gt;1),DiscreteStatsTable[[#This Row],[HalfWidth]],DiscreteStatsTable[[#This Row],[BatchMeansHalfWidth]])</f>
        <v>6.5551456821911144E-2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15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69</v>
      </c>
      <c r="C14">
        <v>3</v>
      </c>
      <c r="D14" t="s">
        <v>70</v>
      </c>
      <c r="E14" t="s">
        <v>71</v>
      </c>
      <c r="F14" t="s">
        <v>72</v>
      </c>
      <c r="G14">
        <v>0</v>
      </c>
      <c r="H14">
        <v>2E+20</v>
      </c>
      <c r="I14">
        <v>0</v>
      </c>
      <c r="J14">
        <v>0</v>
      </c>
      <c r="K14">
        <v>116</v>
      </c>
      <c r="L14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15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95.2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15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69</v>
      </c>
      <c r="C15">
        <v>3</v>
      </c>
      <c r="D15" t="s">
        <v>70</v>
      </c>
      <c r="E15" t="s">
        <v>73</v>
      </c>
      <c r="F15" t="s">
        <v>72</v>
      </c>
      <c r="G15">
        <v>5.4159608437347897</v>
      </c>
      <c r="H15">
        <v>2E+20</v>
      </c>
      <c r="I15">
        <v>2.2558259421986002</v>
      </c>
      <c r="J15">
        <v>9.7774693638713792</v>
      </c>
      <c r="K15">
        <v>116</v>
      </c>
      <c r="L1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15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5.346138634385782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0.17610350587014989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9.7522870955749352E-2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5.0010572981560202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5.6044026436086396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2.2000089245025798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9.8782374302471094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95.2</v>
      </c>
      <c r="W15">
        <f>IF((DiscreteStatsTable[[#This Row],[RepsRequested]]&gt;1),DiscreteStatsTable[[#This Row],[HalfWidth]],DiscreteStatsTable[[#This Row],[BatchMeansHalfWidth]])</f>
        <v>9.7522870955749352E-2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15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69</v>
      </c>
      <c r="C16">
        <v>3</v>
      </c>
      <c r="D16" t="s">
        <v>70</v>
      </c>
      <c r="E16" t="s">
        <v>74</v>
      </c>
      <c r="F16" t="s">
        <v>72</v>
      </c>
      <c r="G16">
        <v>5.8358742398417798</v>
      </c>
      <c r="H16">
        <v>2E+20</v>
      </c>
      <c r="I16">
        <v>2.2558259421986002</v>
      </c>
      <c r="J16">
        <v>13.166422710387399</v>
      </c>
      <c r="K16">
        <v>116</v>
      </c>
      <c r="L16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15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5.5213045410337314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0.21715140941682623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0.12025444225983377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5.1279993537933004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5.8751548496606301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2.2298426260786299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14.372657531026899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95.2</v>
      </c>
      <c r="W16">
        <f>IF((DiscreteStatsTable[[#This Row],[RepsRequested]]&gt;1),DiscreteStatsTable[[#This Row],[HalfWidth]],DiscreteStatsTable[[#This Row],[BatchMeansHalfWidth]])</f>
        <v>0.12025444225983377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15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69</v>
      </c>
      <c r="C17">
        <v>3</v>
      </c>
      <c r="D17" t="s">
        <v>70</v>
      </c>
      <c r="E17" t="s">
        <v>75</v>
      </c>
      <c r="F17" t="s">
        <v>72</v>
      </c>
      <c r="G17">
        <v>0</v>
      </c>
      <c r="H17">
        <v>2E+20</v>
      </c>
      <c r="I17">
        <v>0</v>
      </c>
      <c r="J17">
        <v>0</v>
      </c>
      <c r="K17">
        <v>116</v>
      </c>
      <c r="L17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15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95.2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15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69</v>
      </c>
      <c r="C18">
        <v>3</v>
      </c>
      <c r="D18" t="s">
        <v>70</v>
      </c>
      <c r="E18" t="s">
        <v>76</v>
      </c>
      <c r="F18" t="s">
        <v>72</v>
      </c>
      <c r="G18">
        <v>0</v>
      </c>
      <c r="H18">
        <v>2E+20</v>
      </c>
      <c r="I18">
        <v>0</v>
      </c>
      <c r="J18">
        <v>0</v>
      </c>
      <c r="K18">
        <v>116</v>
      </c>
      <c r="L18" t="str">
        <f>DiscreteStatsTable[[#This Row],[ProjectName]]&amp;DiscreteStatsTable[[#This Row],[Name]]&amp;DiscreteStatsTable[[#This Row],[Type]]&amp;DiscreteStatsTable[[#This Row],[Source]]</f>
        <v>Unnamed ProjectEntity 1VA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15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95.2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15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69</v>
      </c>
      <c r="C19">
        <v>3</v>
      </c>
      <c r="D19" t="s">
        <v>70</v>
      </c>
      <c r="E19" t="s">
        <v>77</v>
      </c>
      <c r="F19" t="s">
        <v>72</v>
      </c>
      <c r="G19">
        <v>0.41991339610698702</v>
      </c>
      <c r="H19">
        <v>2E+20</v>
      </c>
      <c r="I19">
        <v>0</v>
      </c>
      <c r="J19">
        <v>7.1614883448111302</v>
      </c>
      <c r="K19">
        <v>116</v>
      </c>
      <c r="L19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15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0.17516590664795043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0.11837060628036969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6.5551456821911144E-2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1.02655423516477E-2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0.42879381521165499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7.1614883448111302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95.2</v>
      </c>
      <c r="W19">
        <f>IF((DiscreteStatsTable[[#This Row],[RepsRequested]]&gt;1),DiscreteStatsTable[[#This Row],[HalfWidth]],DiscreteStatsTable[[#This Row],[BatchMeansHalfWidth]])</f>
        <v>6.5551456821911144E-2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15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69</v>
      </c>
      <c r="C20">
        <v>4</v>
      </c>
      <c r="D20" t="s">
        <v>70</v>
      </c>
      <c r="E20" t="s">
        <v>71</v>
      </c>
      <c r="F20" t="s">
        <v>72</v>
      </c>
      <c r="G20">
        <v>0</v>
      </c>
      <c r="H20">
        <v>2E+20</v>
      </c>
      <c r="I20">
        <v>0</v>
      </c>
      <c r="J20">
        <v>0</v>
      </c>
      <c r="K20">
        <v>98</v>
      </c>
      <c r="L20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15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95.2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15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69</v>
      </c>
      <c r="C21">
        <v>4</v>
      </c>
      <c r="D21" t="s">
        <v>70</v>
      </c>
      <c r="E21" t="s">
        <v>73</v>
      </c>
      <c r="F21" t="s">
        <v>72</v>
      </c>
      <c r="G21">
        <v>5.4692074573028204</v>
      </c>
      <c r="H21">
        <v>2E+20</v>
      </c>
      <c r="I21">
        <v>2.2706804444709401</v>
      </c>
      <c r="J21">
        <v>9.4929680280656594</v>
      </c>
      <c r="K21">
        <v>98</v>
      </c>
      <c r="L21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15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5.346138634385782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0.17610350587014989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9.7522870955749352E-2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5.0010572981560202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5.6044026436086396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2.2000089245025798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9.8782374302471094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95.2</v>
      </c>
      <c r="W21">
        <f>IF((DiscreteStatsTable[[#This Row],[RepsRequested]]&gt;1),DiscreteStatsTable[[#This Row],[HalfWidth]],DiscreteStatsTable[[#This Row],[BatchMeansHalfWidth]])</f>
        <v>9.7522870955749352E-2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15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69</v>
      </c>
      <c r="C22">
        <v>4</v>
      </c>
      <c r="D22" t="s">
        <v>70</v>
      </c>
      <c r="E22" t="s">
        <v>74</v>
      </c>
      <c r="F22" t="s">
        <v>72</v>
      </c>
      <c r="G22">
        <v>5.6201203118331904</v>
      </c>
      <c r="H22">
        <v>2E+20</v>
      </c>
      <c r="I22">
        <v>2.2706804444709401</v>
      </c>
      <c r="J22">
        <v>11.067132927698101</v>
      </c>
      <c r="K22">
        <v>98</v>
      </c>
      <c r="L22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15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5.5213045410337314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0.21715140941682623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0.12025444225983377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5.1279993537933004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5.8751548496606301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2.2298426260786299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14.372657531026899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95.2</v>
      </c>
      <c r="W22">
        <f>IF((DiscreteStatsTable[[#This Row],[RepsRequested]]&gt;1),DiscreteStatsTable[[#This Row],[HalfWidth]],DiscreteStatsTable[[#This Row],[BatchMeansHalfWidth]])</f>
        <v>0.12025444225983377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15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69</v>
      </c>
      <c r="C23">
        <v>4</v>
      </c>
      <c r="D23" t="s">
        <v>70</v>
      </c>
      <c r="E23" t="s">
        <v>75</v>
      </c>
      <c r="F23" t="s">
        <v>72</v>
      </c>
      <c r="G23">
        <v>0</v>
      </c>
      <c r="H23">
        <v>2E+20</v>
      </c>
      <c r="I23">
        <v>0</v>
      </c>
      <c r="J23">
        <v>0</v>
      </c>
      <c r="K23">
        <v>98</v>
      </c>
      <c r="L23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15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95.2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15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69</v>
      </c>
      <c r="C24">
        <v>4</v>
      </c>
      <c r="D24" t="s">
        <v>70</v>
      </c>
      <c r="E24" t="s">
        <v>76</v>
      </c>
      <c r="F24" t="s">
        <v>72</v>
      </c>
      <c r="G24">
        <v>0</v>
      </c>
      <c r="H24">
        <v>2E+20</v>
      </c>
      <c r="I24">
        <v>0</v>
      </c>
      <c r="J24">
        <v>0</v>
      </c>
      <c r="K24">
        <v>98</v>
      </c>
      <c r="L24" t="str">
        <f>DiscreteStatsTable[[#This Row],[ProjectName]]&amp;DiscreteStatsTable[[#This Row],[Name]]&amp;DiscreteStatsTable[[#This Row],[Type]]&amp;DiscreteStatsTable[[#This Row],[Source]]</f>
        <v>Unnamed ProjectEntity 1VA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15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95.2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15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69</v>
      </c>
      <c r="C25">
        <v>4</v>
      </c>
      <c r="D25" t="s">
        <v>70</v>
      </c>
      <c r="E25" t="s">
        <v>77</v>
      </c>
      <c r="F25" t="s">
        <v>72</v>
      </c>
      <c r="G25">
        <v>0.15091285453037401</v>
      </c>
      <c r="H25">
        <v>2E+20</v>
      </c>
      <c r="I25">
        <v>0</v>
      </c>
      <c r="J25">
        <v>3.3505131756219599</v>
      </c>
      <c r="K25">
        <v>98</v>
      </c>
      <c r="L2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15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0.17516590664795043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0.11837060628036969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6.5551456821911144E-2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1.02655423516477E-2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0.42879381521165499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7.1614883448111302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95.2</v>
      </c>
      <c r="W25">
        <f>IF((DiscreteStatsTable[[#This Row],[RepsRequested]]&gt;1),DiscreteStatsTable[[#This Row],[HalfWidth]],DiscreteStatsTable[[#This Row],[BatchMeansHalfWidth]])</f>
        <v>6.5551456821911144E-2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15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69</v>
      </c>
      <c r="C26">
        <v>5</v>
      </c>
      <c r="D26" t="s">
        <v>70</v>
      </c>
      <c r="E26" t="s">
        <v>71</v>
      </c>
      <c r="F26" t="s">
        <v>72</v>
      </c>
      <c r="G26">
        <v>0</v>
      </c>
      <c r="H26">
        <v>2E+20</v>
      </c>
      <c r="I26">
        <v>0</v>
      </c>
      <c r="J26">
        <v>0</v>
      </c>
      <c r="K26">
        <v>104</v>
      </c>
      <c r="L26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15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95.2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15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69</v>
      </c>
      <c r="C27">
        <v>5</v>
      </c>
      <c r="D27" t="s">
        <v>70</v>
      </c>
      <c r="E27" t="s">
        <v>73</v>
      </c>
      <c r="F27" t="s">
        <v>72</v>
      </c>
      <c r="G27">
        <v>5.0925344068067702</v>
      </c>
      <c r="H27">
        <v>2E+20</v>
      </c>
      <c r="I27">
        <v>2.28238695227921</v>
      </c>
      <c r="J27">
        <v>9.2190963870103193</v>
      </c>
      <c r="K27">
        <v>104</v>
      </c>
      <c r="L27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15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5.346138634385782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0.17610350587014989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9.7522870955749352E-2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5.0010572981560202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5.6044026436086396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2.2000089245025798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9.8782374302471094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95.2</v>
      </c>
      <c r="W27">
        <f>IF((DiscreteStatsTable[[#This Row],[RepsRequested]]&gt;1),DiscreteStatsTable[[#This Row],[HalfWidth]],DiscreteStatsTable[[#This Row],[BatchMeansHalfWidth]])</f>
        <v>9.7522870955749352E-2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15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69</v>
      </c>
      <c r="C28">
        <v>5</v>
      </c>
      <c r="D28" t="s">
        <v>70</v>
      </c>
      <c r="E28" t="s">
        <v>74</v>
      </c>
      <c r="F28" t="s">
        <v>72</v>
      </c>
      <c r="G28">
        <v>5.2554939599986499</v>
      </c>
      <c r="H28">
        <v>2E+20</v>
      </c>
      <c r="I28">
        <v>2.28238695227921</v>
      </c>
      <c r="J28">
        <v>10.8298566799933</v>
      </c>
      <c r="K28">
        <v>104</v>
      </c>
      <c r="L28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15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5.5213045410337314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0.21715140941682623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0.12025444225983377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5.1279993537933004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5.8751548496606301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2.2298426260786299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14.372657531026899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95.2</v>
      </c>
      <c r="W28">
        <f>IF((DiscreteStatsTable[[#This Row],[RepsRequested]]&gt;1),DiscreteStatsTable[[#This Row],[HalfWidth]],DiscreteStatsTable[[#This Row],[BatchMeansHalfWidth]])</f>
        <v>0.12025444225983377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15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69</v>
      </c>
      <c r="C29">
        <v>5</v>
      </c>
      <c r="D29" t="s">
        <v>70</v>
      </c>
      <c r="E29" t="s">
        <v>75</v>
      </c>
      <c r="F29" t="s">
        <v>72</v>
      </c>
      <c r="G29">
        <v>0</v>
      </c>
      <c r="H29">
        <v>2E+20</v>
      </c>
      <c r="I29">
        <v>0</v>
      </c>
      <c r="J29">
        <v>0</v>
      </c>
      <c r="K29">
        <v>104</v>
      </c>
      <c r="L29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15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95.2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15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69</v>
      </c>
      <c r="C30">
        <v>5</v>
      </c>
      <c r="D30" t="s">
        <v>70</v>
      </c>
      <c r="E30" t="s">
        <v>76</v>
      </c>
      <c r="F30" t="s">
        <v>72</v>
      </c>
      <c r="G30">
        <v>0</v>
      </c>
      <c r="H30">
        <v>2E+20</v>
      </c>
      <c r="I30">
        <v>0</v>
      </c>
      <c r="J30">
        <v>0</v>
      </c>
      <c r="K30">
        <v>104</v>
      </c>
      <c r="L30" t="str">
        <f>DiscreteStatsTable[[#This Row],[ProjectName]]&amp;DiscreteStatsTable[[#This Row],[Name]]&amp;DiscreteStatsTable[[#This Row],[Type]]&amp;DiscreteStatsTable[[#This Row],[Source]]</f>
        <v>Unnamed ProjectEntity 1VA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15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95.2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15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69</v>
      </c>
      <c r="C31">
        <v>5</v>
      </c>
      <c r="D31" t="s">
        <v>70</v>
      </c>
      <c r="E31" t="s">
        <v>77</v>
      </c>
      <c r="F31" t="s">
        <v>72</v>
      </c>
      <c r="G31">
        <v>0.16295955319187899</v>
      </c>
      <c r="H31">
        <v>2E+20</v>
      </c>
      <c r="I31">
        <v>0</v>
      </c>
      <c r="J31">
        <v>4.1168613064264701</v>
      </c>
      <c r="K31">
        <v>104</v>
      </c>
      <c r="L31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15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0.17516590664795043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0.11837060628036969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6.5551456821911144E-2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1.02655423516477E-2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0.42879381521165499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7.1614883448111302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95.2</v>
      </c>
      <c r="W31">
        <f>IF((DiscreteStatsTable[[#This Row],[RepsRequested]]&gt;1),DiscreteStatsTable[[#This Row],[HalfWidth]],DiscreteStatsTable[[#This Row],[BatchMeansHalfWidth]])</f>
        <v>6.5551456821911144E-2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15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69</v>
      </c>
      <c r="C32">
        <v>6</v>
      </c>
      <c r="D32" t="s">
        <v>70</v>
      </c>
      <c r="E32" t="s">
        <v>71</v>
      </c>
      <c r="F32" t="s">
        <v>72</v>
      </c>
      <c r="G32">
        <v>0</v>
      </c>
      <c r="H32">
        <v>2E+20</v>
      </c>
      <c r="I32">
        <v>0</v>
      </c>
      <c r="J32">
        <v>0</v>
      </c>
      <c r="K32">
        <v>98</v>
      </c>
      <c r="L32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15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95.2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15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69</v>
      </c>
      <c r="C33">
        <v>6</v>
      </c>
      <c r="D33" t="s">
        <v>70</v>
      </c>
      <c r="E33" t="s">
        <v>73</v>
      </c>
      <c r="F33" t="s">
        <v>72</v>
      </c>
      <c r="G33">
        <v>5.4463610344489801</v>
      </c>
      <c r="H33">
        <v>2E+20</v>
      </c>
      <c r="I33">
        <v>2.2000089245025798</v>
      </c>
      <c r="J33">
        <v>9.6886988672720307</v>
      </c>
      <c r="K33">
        <v>98</v>
      </c>
      <c r="L33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15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5.346138634385782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0.17610350587014989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9.7522870955749352E-2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5.0010572981560202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5.6044026436086396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2.2000089245025798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9.8782374302471094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95.2</v>
      </c>
      <c r="W33">
        <f>IF((DiscreteStatsTable[[#This Row],[RepsRequested]]&gt;1),DiscreteStatsTable[[#This Row],[HalfWidth]],DiscreteStatsTable[[#This Row],[BatchMeansHalfWidth]])</f>
        <v>9.7522870955749352E-2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15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69</v>
      </c>
      <c r="C34">
        <v>6</v>
      </c>
      <c r="D34" t="s">
        <v>70</v>
      </c>
      <c r="E34" t="s">
        <v>74</v>
      </c>
      <c r="F34" t="s">
        <v>72</v>
      </c>
      <c r="G34">
        <v>5.8751548496606301</v>
      </c>
      <c r="H34">
        <v>2E+20</v>
      </c>
      <c r="I34">
        <v>2.30132873167463</v>
      </c>
      <c r="J34">
        <v>14.372657531026899</v>
      </c>
      <c r="K34">
        <v>98</v>
      </c>
      <c r="L34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15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5.5213045410337314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0.21715140941682623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0.12025444225983377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5.1279993537933004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5.8751548496606301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2.2298426260786299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14.372657531026899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95.2</v>
      </c>
      <c r="W34">
        <f>IF((DiscreteStatsTable[[#This Row],[RepsRequested]]&gt;1),DiscreteStatsTable[[#This Row],[HalfWidth]],DiscreteStatsTable[[#This Row],[BatchMeansHalfWidth]])</f>
        <v>0.12025444225983377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15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69</v>
      </c>
      <c r="C35">
        <v>6</v>
      </c>
      <c r="D35" t="s">
        <v>70</v>
      </c>
      <c r="E35" t="s">
        <v>75</v>
      </c>
      <c r="F35" t="s">
        <v>72</v>
      </c>
      <c r="G35">
        <v>0</v>
      </c>
      <c r="H35">
        <v>2E+20</v>
      </c>
      <c r="I35">
        <v>0</v>
      </c>
      <c r="J35">
        <v>0</v>
      </c>
      <c r="K35">
        <v>98</v>
      </c>
      <c r="L3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15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95.2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15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69</v>
      </c>
      <c r="C36">
        <v>6</v>
      </c>
      <c r="D36" t="s">
        <v>70</v>
      </c>
      <c r="E36" t="s">
        <v>76</v>
      </c>
      <c r="F36" t="s">
        <v>72</v>
      </c>
      <c r="G36">
        <v>0</v>
      </c>
      <c r="H36">
        <v>2E+20</v>
      </c>
      <c r="I36">
        <v>0</v>
      </c>
      <c r="J36">
        <v>0</v>
      </c>
      <c r="K36">
        <v>98</v>
      </c>
      <c r="L36" t="str">
        <f>DiscreteStatsTable[[#This Row],[ProjectName]]&amp;DiscreteStatsTable[[#This Row],[Name]]&amp;DiscreteStatsTable[[#This Row],[Type]]&amp;DiscreteStatsTable[[#This Row],[Source]]</f>
        <v>Unnamed ProjectEntity 1VA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15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95.2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15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69</v>
      </c>
      <c r="C37">
        <v>6</v>
      </c>
      <c r="D37" t="s">
        <v>70</v>
      </c>
      <c r="E37" t="s">
        <v>77</v>
      </c>
      <c r="F37" t="s">
        <v>72</v>
      </c>
      <c r="G37">
        <v>0.42879381521165499</v>
      </c>
      <c r="H37">
        <v>2E+20</v>
      </c>
      <c r="I37">
        <v>0</v>
      </c>
      <c r="J37">
        <v>6.6688824954600499</v>
      </c>
      <c r="K37">
        <v>98</v>
      </c>
      <c r="L37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15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0.17516590664795043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0.11837060628036969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6.5551456821911144E-2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1.02655423516477E-2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0.42879381521165499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7.1614883448111302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95.2</v>
      </c>
      <c r="W37">
        <f>IF((DiscreteStatsTable[[#This Row],[RepsRequested]]&gt;1),DiscreteStatsTable[[#This Row],[HalfWidth]],DiscreteStatsTable[[#This Row],[BatchMeansHalfWidth]])</f>
        <v>6.5551456821911144E-2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15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69</v>
      </c>
      <c r="C38">
        <v>7</v>
      </c>
      <c r="D38" t="s">
        <v>70</v>
      </c>
      <c r="E38" t="s">
        <v>71</v>
      </c>
      <c r="F38" t="s">
        <v>72</v>
      </c>
      <c r="G38">
        <v>0</v>
      </c>
      <c r="H38">
        <v>2E+20</v>
      </c>
      <c r="I38">
        <v>0</v>
      </c>
      <c r="J38">
        <v>0</v>
      </c>
      <c r="K38">
        <v>97</v>
      </c>
      <c r="L38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15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95.2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15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69</v>
      </c>
      <c r="C39">
        <v>7</v>
      </c>
      <c r="D39" t="s">
        <v>70</v>
      </c>
      <c r="E39" t="s">
        <v>73</v>
      </c>
      <c r="F39" t="s">
        <v>72</v>
      </c>
      <c r="G39">
        <v>5.5229204040241697</v>
      </c>
      <c r="H39">
        <v>2E+20</v>
      </c>
      <c r="I39">
        <v>2.5899692254992002</v>
      </c>
      <c r="J39">
        <v>9.3035942931456095</v>
      </c>
      <c r="K39">
        <v>97</v>
      </c>
      <c r="L39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15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5.346138634385782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0.17610350587014989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9.7522870955749352E-2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5.0010572981560202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5.6044026436086396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2.2000089245025798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9.8782374302471094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95.2</v>
      </c>
      <c r="W39">
        <f>IF((DiscreteStatsTable[[#This Row],[RepsRequested]]&gt;1),DiscreteStatsTable[[#This Row],[HalfWidth]],DiscreteStatsTable[[#This Row],[BatchMeansHalfWidth]])</f>
        <v>9.7522870955749352E-2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15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69</v>
      </c>
      <c r="C40">
        <v>7</v>
      </c>
      <c r="D40" t="s">
        <v>70</v>
      </c>
      <c r="E40" t="s">
        <v>74</v>
      </c>
      <c r="F40" t="s">
        <v>72</v>
      </c>
      <c r="G40">
        <v>5.5465201784648404</v>
      </c>
      <c r="H40">
        <v>2E+20</v>
      </c>
      <c r="I40">
        <v>2.5899692254992002</v>
      </c>
      <c r="J40">
        <v>9.3035942931456095</v>
      </c>
      <c r="K40">
        <v>97</v>
      </c>
      <c r="L40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15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5.5213045410337314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0.21715140941682623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0.12025444225983377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5.1279993537933004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5.8751548496606301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2.2298426260786299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14.372657531026899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95.2</v>
      </c>
      <c r="W40">
        <f>IF((DiscreteStatsTable[[#This Row],[RepsRequested]]&gt;1),DiscreteStatsTable[[#This Row],[HalfWidth]],DiscreteStatsTable[[#This Row],[BatchMeansHalfWidth]])</f>
        <v>0.12025444225983377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15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69</v>
      </c>
      <c r="C41">
        <v>7</v>
      </c>
      <c r="D41" t="s">
        <v>70</v>
      </c>
      <c r="E41" t="s">
        <v>75</v>
      </c>
      <c r="F41" t="s">
        <v>72</v>
      </c>
      <c r="G41">
        <v>0</v>
      </c>
      <c r="H41">
        <v>2E+20</v>
      </c>
      <c r="I41">
        <v>0</v>
      </c>
      <c r="J41">
        <v>0</v>
      </c>
      <c r="K41">
        <v>97</v>
      </c>
      <c r="L41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15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95.2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15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69</v>
      </c>
      <c r="C42">
        <v>7</v>
      </c>
      <c r="D42" t="s">
        <v>70</v>
      </c>
      <c r="E42" t="s">
        <v>76</v>
      </c>
      <c r="F42" t="s">
        <v>72</v>
      </c>
      <c r="G42">
        <v>0</v>
      </c>
      <c r="H42">
        <v>2E+20</v>
      </c>
      <c r="I42">
        <v>0</v>
      </c>
      <c r="J42">
        <v>0</v>
      </c>
      <c r="K42">
        <v>97</v>
      </c>
      <c r="L42" t="str">
        <f>DiscreteStatsTable[[#This Row],[ProjectName]]&amp;DiscreteStatsTable[[#This Row],[Name]]&amp;DiscreteStatsTable[[#This Row],[Type]]&amp;DiscreteStatsTable[[#This Row],[Source]]</f>
        <v>Unnamed ProjectEntity 1VA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15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0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0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95.2</v>
      </c>
      <c r="W42">
        <f>IF((DiscreteStatsTable[[#This Row],[RepsRequested]]&gt;1),DiscreteStatsTable[[#This Row],[HalfWidth]],DiscreteStatsTable[[#This Row],[BatchMeansHalfWidth]])</f>
        <v>0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15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69</v>
      </c>
      <c r="C43">
        <v>7</v>
      </c>
      <c r="D43" t="s">
        <v>70</v>
      </c>
      <c r="E43" t="s">
        <v>77</v>
      </c>
      <c r="F43" t="s">
        <v>72</v>
      </c>
      <c r="G43">
        <v>2.3599774440667302E-2</v>
      </c>
      <c r="H43">
        <v>2E+20</v>
      </c>
      <c r="I43">
        <v>0</v>
      </c>
      <c r="J43">
        <v>1.81870565101076</v>
      </c>
      <c r="K43">
        <v>97</v>
      </c>
      <c r="L43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15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0.17516590664795043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0.11837060628036969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6.5551456821911144E-2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1.02655423516477E-2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0.42879381521165499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7.1614883448111302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95.2</v>
      </c>
      <c r="W43">
        <f>IF((DiscreteStatsTable[[#This Row],[RepsRequested]]&gt;1),DiscreteStatsTable[[#This Row],[HalfWidth]],DiscreteStatsTable[[#This Row],[BatchMeansHalfWidth]])</f>
        <v>6.5551456821911144E-2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15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69</v>
      </c>
      <c r="C44">
        <v>8</v>
      </c>
      <c r="D44" t="s">
        <v>70</v>
      </c>
      <c r="E44" t="s">
        <v>71</v>
      </c>
      <c r="F44" t="s">
        <v>72</v>
      </c>
      <c r="G44">
        <v>0</v>
      </c>
      <c r="H44">
        <v>2E+20</v>
      </c>
      <c r="I44">
        <v>0</v>
      </c>
      <c r="J44">
        <v>0</v>
      </c>
      <c r="K44">
        <v>81</v>
      </c>
      <c r="L44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15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95.2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15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69</v>
      </c>
      <c r="C45">
        <v>8</v>
      </c>
      <c r="D45" t="s">
        <v>70</v>
      </c>
      <c r="E45" t="s">
        <v>73</v>
      </c>
      <c r="F45" t="s">
        <v>72</v>
      </c>
      <c r="G45">
        <v>5.5810214695526899</v>
      </c>
      <c r="H45">
        <v>2E+20</v>
      </c>
      <c r="I45">
        <v>2.52070021711376</v>
      </c>
      <c r="J45">
        <v>9.8209213806202094</v>
      </c>
      <c r="K45">
        <v>81</v>
      </c>
      <c r="L4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15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5.346138634385782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0.17610350587014989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9.7522870955749352E-2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5.0010572981560202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5.6044026436086396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2.2000089245025798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9.8782374302471094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95.2</v>
      </c>
      <c r="W45">
        <f>IF((DiscreteStatsTable[[#This Row],[RepsRequested]]&gt;1),DiscreteStatsTable[[#This Row],[HalfWidth]],DiscreteStatsTable[[#This Row],[BatchMeansHalfWidth]])</f>
        <v>9.7522870955749352E-2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15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69</v>
      </c>
      <c r="C46">
        <v>8</v>
      </c>
      <c r="D46" t="s">
        <v>70</v>
      </c>
      <c r="E46" t="s">
        <v>74</v>
      </c>
      <c r="F46" t="s">
        <v>72</v>
      </c>
      <c r="G46">
        <v>5.5912870119043303</v>
      </c>
      <c r="H46">
        <v>2E+20</v>
      </c>
      <c r="I46">
        <v>2.52070021711376</v>
      </c>
      <c r="J46">
        <v>9.8209213806202094</v>
      </c>
      <c r="K46">
        <v>81</v>
      </c>
      <c r="L46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15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5.5213045410337314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0.21715140941682623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0.12025444225983377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5.1279993537933004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5.8751548496606301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2.2298426260786299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14.372657531026899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95.2</v>
      </c>
      <c r="W46">
        <f>IF((DiscreteStatsTable[[#This Row],[RepsRequested]]&gt;1),DiscreteStatsTable[[#This Row],[HalfWidth]],DiscreteStatsTable[[#This Row],[BatchMeansHalfWidth]])</f>
        <v>0.12025444225983377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15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69</v>
      </c>
      <c r="C47">
        <v>8</v>
      </c>
      <c r="D47" t="s">
        <v>70</v>
      </c>
      <c r="E47" t="s">
        <v>75</v>
      </c>
      <c r="F47" t="s">
        <v>72</v>
      </c>
      <c r="G47">
        <v>0</v>
      </c>
      <c r="H47">
        <v>2E+20</v>
      </c>
      <c r="I47">
        <v>0</v>
      </c>
      <c r="J47">
        <v>0</v>
      </c>
      <c r="K47">
        <v>81</v>
      </c>
      <c r="L47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15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95.2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15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69</v>
      </c>
      <c r="C48">
        <v>8</v>
      </c>
      <c r="D48" t="s">
        <v>70</v>
      </c>
      <c r="E48" t="s">
        <v>76</v>
      </c>
      <c r="F48" t="s">
        <v>72</v>
      </c>
      <c r="G48">
        <v>0</v>
      </c>
      <c r="H48">
        <v>2E+20</v>
      </c>
      <c r="I48">
        <v>0</v>
      </c>
      <c r="J48">
        <v>0</v>
      </c>
      <c r="K48">
        <v>81</v>
      </c>
      <c r="L48" t="str">
        <f>DiscreteStatsTable[[#This Row],[ProjectName]]&amp;DiscreteStatsTable[[#This Row],[Name]]&amp;DiscreteStatsTable[[#This Row],[Type]]&amp;DiscreteStatsTable[[#This Row],[Source]]</f>
        <v>Unnamed ProjectEntity 1VA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15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0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0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0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95.2</v>
      </c>
      <c r="W48">
        <f>IF((DiscreteStatsTable[[#This Row],[RepsRequested]]&gt;1),DiscreteStatsTable[[#This Row],[HalfWidth]],DiscreteStatsTable[[#This Row],[BatchMeansHalfWidth]])</f>
        <v>0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15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69</v>
      </c>
      <c r="C49">
        <v>8</v>
      </c>
      <c r="D49" t="s">
        <v>70</v>
      </c>
      <c r="E49" t="s">
        <v>77</v>
      </c>
      <c r="F49" t="s">
        <v>72</v>
      </c>
      <c r="G49">
        <v>1.02655423516477E-2</v>
      </c>
      <c r="H49">
        <v>2E+20</v>
      </c>
      <c r="I49">
        <v>0</v>
      </c>
      <c r="J49">
        <v>0.83150893048346597</v>
      </c>
      <c r="K49">
        <v>81</v>
      </c>
      <c r="L49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15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0.17516590664795043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0.11837060628036969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6.5551456821911144E-2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1.02655423516477E-2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0.42879381521165499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7.1614883448111302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95.2</v>
      </c>
      <c r="W49">
        <f>IF((DiscreteStatsTable[[#This Row],[RepsRequested]]&gt;1),DiscreteStatsTable[[#This Row],[HalfWidth]],DiscreteStatsTable[[#This Row],[BatchMeansHalfWidth]])</f>
        <v>6.5551456821911144E-2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15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69</v>
      </c>
      <c r="C50">
        <v>9</v>
      </c>
      <c r="D50" t="s">
        <v>70</v>
      </c>
      <c r="E50" t="s">
        <v>71</v>
      </c>
      <c r="F50" t="s">
        <v>72</v>
      </c>
      <c r="G50">
        <v>0</v>
      </c>
      <c r="H50">
        <v>2E+20</v>
      </c>
      <c r="I50">
        <v>0</v>
      </c>
      <c r="J50">
        <v>0</v>
      </c>
      <c r="K50">
        <v>95</v>
      </c>
      <c r="L50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15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95.2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15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69</v>
      </c>
      <c r="C51">
        <v>9</v>
      </c>
      <c r="D51" t="s">
        <v>70</v>
      </c>
      <c r="E51" t="s">
        <v>73</v>
      </c>
      <c r="F51" t="s">
        <v>72</v>
      </c>
      <c r="G51">
        <v>5.1754319819347296</v>
      </c>
      <c r="H51">
        <v>2E+20</v>
      </c>
      <c r="I51">
        <v>2.39356358058185</v>
      </c>
      <c r="J51">
        <v>9.2356384892852894</v>
      </c>
      <c r="K51">
        <v>95</v>
      </c>
      <c r="L51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15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5.346138634385782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0.17610350587014989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9.7522870955749352E-2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5.0010572981560202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5.6044026436086396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2.2000089245025798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9.8782374302471094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95.2</v>
      </c>
      <c r="W51">
        <f>IF((DiscreteStatsTable[[#This Row],[RepsRequested]]&gt;1),DiscreteStatsTable[[#This Row],[HalfWidth]],DiscreteStatsTable[[#This Row],[BatchMeansHalfWidth]])</f>
        <v>9.7522870955749352E-2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15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69</v>
      </c>
      <c r="C52">
        <v>9</v>
      </c>
      <c r="D52" t="s">
        <v>70</v>
      </c>
      <c r="E52" t="s">
        <v>74</v>
      </c>
      <c r="F52" t="s">
        <v>72</v>
      </c>
      <c r="G52">
        <v>5.2573335558718304</v>
      </c>
      <c r="H52">
        <v>2E+20</v>
      </c>
      <c r="I52">
        <v>2.39356358058185</v>
      </c>
      <c r="J52">
        <v>11.916921395942</v>
      </c>
      <c r="K52">
        <v>95</v>
      </c>
      <c r="L52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15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5.5213045410337314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0.21715140941682623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0.12025444225983377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5.1279993537933004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5.8751548496606301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2.2298426260786299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14.372657531026899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95.2</v>
      </c>
      <c r="W52">
        <f>IF((DiscreteStatsTable[[#This Row],[RepsRequested]]&gt;1),DiscreteStatsTable[[#This Row],[HalfWidth]],DiscreteStatsTable[[#This Row],[BatchMeansHalfWidth]])</f>
        <v>0.12025444225983377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15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69</v>
      </c>
      <c r="C53">
        <v>9</v>
      </c>
      <c r="D53" t="s">
        <v>70</v>
      </c>
      <c r="E53" t="s">
        <v>75</v>
      </c>
      <c r="F53" t="s">
        <v>72</v>
      </c>
      <c r="G53">
        <v>0</v>
      </c>
      <c r="H53">
        <v>2E+20</v>
      </c>
      <c r="I53">
        <v>0</v>
      </c>
      <c r="J53">
        <v>0</v>
      </c>
      <c r="K53">
        <v>95</v>
      </c>
      <c r="L53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15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95.2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15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69</v>
      </c>
      <c r="C54">
        <v>9</v>
      </c>
      <c r="D54" t="s">
        <v>70</v>
      </c>
      <c r="E54" t="s">
        <v>76</v>
      </c>
      <c r="F54" t="s">
        <v>72</v>
      </c>
      <c r="G54">
        <v>0</v>
      </c>
      <c r="H54">
        <v>2E+20</v>
      </c>
      <c r="I54">
        <v>0</v>
      </c>
      <c r="J54">
        <v>0</v>
      </c>
      <c r="K54">
        <v>95</v>
      </c>
      <c r="L54" t="str">
        <f>DiscreteStatsTable[[#This Row],[ProjectName]]&amp;DiscreteStatsTable[[#This Row],[Name]]&amp;DiscreteStatsTable[[#This Row],[Type]]&amp;DiscreteStatsTable[[#This Row],[Source]]</f>
        <v>Unnamed ProjectEntity 1VA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15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0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0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0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95.2</v>
      </c>
      <c r="W54">
        <f>IF((DiscreteStatsTable[[#This Row],[RepsRequested]]&gt;1),DiscreteStatsTable[[#This Row],[HalfWidth]],DiscreteStatsTable[[#This Row],[BatchMeansHalfWidth]])</f>
        <v>0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15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69</v>
      </c>
      <c r="C55">
        <v>9</v>
      </c>
      <c r="D55" t="s">
        <v>70</v>
      </c>
      <c r="E55" t="s">
        <v>77</v>
      </c>
      <c r="F55" t="s">
        <v>72</v>
      </c>
      <c r="G55">
        <v>8.1901573937098404E-2</v>
      </c>
      <c r="H55">
        <v>2E+20</v>
      </c>
      <c r="I55">
        <v>0</v>
      </c>
      <c r="J55">
        <v>3.0487620939600202</v>
      </c>
      <c r="K55">
        <v>95</v>
      </c>
      <c r="L5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15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0.17516590664795043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0.11837060628036969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6.5551456821911144E-2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1.02655423516477E-2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0.42879381521165499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7.1614883448111302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95.2</v>
      </c>
      <c r="W55">
        <f>IF((DiscreteStatsTable[[#This Row],[RepsRequested]]&gt;1),DiscreteStatsTable[[#This Row],[HalfWidth]],DiscreteStatsTable[[#This Row],[BatchMeansHalfWidth]])</f>
        <v>6.5551456821911144E-2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15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69</v>
      </c>
      <c r="C56">
        <v>10</v>
      </c>
      <c r="D56" t="s">
        <v>70</v>
      </c>
      <c r="E56" t="s">
        <v>71</v>
      </c>
      <c r="F56" t="s">
        <v>72</v>
      </c>
      <c r="G56">
        <v>0</v>
      </c>
      <c r="H56">
        <v>2E+20</v>
      </c>
      <c r="I56">
        <v>0</v>
      </c>
      <c r="J56">
        <v>0</v>
      </c>
      <c r="K56">
        <v>84</v>
      </c>
      <c r="L56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15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95.2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15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69</v>
      </c>
      <c r="C57">
        <v>10</v>
      </c>
      <c r="D57" t="s">
        <v>70</v>
      </c>
      <c r="E57" t="s">
        <v>73</v>
      </c>
      <c r="F57" t="s">
        <v>72</v>
      </c>
      <c r="G57">
        <v>5.0010572981560202</v>
      </c>
      <c r="H57">
        <v>2E+20</v>
      </c>
      <c r="I57">
        <v>2.3931462320291002</v>
      </c>
      <c r="J57">
        <v>9.0930109103963304</v>
      </c>
      <c r="K57">
        <v>84</v>
      </c>
      <c r="L57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15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5.346138634385782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0.17610350587014989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9.7522870955749352E-2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5.0010572981560202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5.6044026436086396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2.2000089245025798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9.8782374302471094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95.2</v>
      </c>
      <c r="W57">
        <f>IF((DiscreteStatsTable[[#This Row],[RepsRequested]]&gt;1),DiscreteStatsTable[[#This Row],[HalfWidth]],DiscreteStatsTable[[#This Row],[BatchMeansHalfWidth]])</f>
        <v>9.7522870955749352E-2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15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69</v>
      </c>
      <c r="C58">
        <v>10</v>
      </c>
      <c r="D58" t="s">
        <v>70</v>
      </c>
      <c r="E58" t="s">
        <v>74</v>
      </c>
      <c r="F58" t="s">
        <v>72</v>
      </c>
      <c r="G58">
        <v>5.1279993537933004</v>
      </c>
      <c r="H58">
        <v>2E+20</v>
      </c>
      <c r="I58">
        <v>2.3931462320291002</v>
      </c>
      <c r="J58">
        <v>9.2149230554156194</v>
      </c>
      <c r="K58">
        <v>84</v>
      </c>
      <c r="L58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15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5.5213045410337314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0.21715140941682623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0.12025444225983377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5.1279993537933004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5.8751548496606301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2.2298426260786299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14.372657531026899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95.2</v>
      </c>
      <c r="W58">
        <f>IF((DiscreteStatsTable[[#This Row],[RepsRequested]]&gt;1),DiscreteStatsTable[[#This Row],[HalfWidth]],DiscreteStatsTable[[#This Row],[BatchMeansHalfWidth]])</f>
        <v>0.12025444225983377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15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69</v>
      </c>
      <c r="C59">
        <v>10</v>
      </c>
      <c r="D59" t="s">
        <v>70</v>
      </c>
      <c r="E59" t="s">
        <v>75</v>
      </c>
      <c r="F59" t="s">
        <v>72</v>
      </c>
      <c r="G59">
        <v>0</v>
      </c>
      <c r="H59">
        <v>2E+20</v>
      </c>
      <c r="I59">
        <v>0</v>
      </c>
      <c r="J59">
        <v>0</v>
      </c>
      <c r="K59">
        <v>84</v>
      </c>
      <c r="L59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15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95.2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15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69</v>
      </c>
      <c r="C60">
        <v>10</v>
      </c>
      <c r="D60" t="s">
        <v>70</v>
      </c>
      <c r="E60" t="s">
        <v>76</v>
      </c>
      <c r="F60" t="s">
        <v>72</v>
      </c>
      <c r="G60">
        <v>0</v>
      </c>
      <c r="H60">
        <v>2E+20</v>
      </c>
      <c r="I60">
        <v>0</v>
      </c>
      <c r="J60">
        <v>0</v>
      </c>
      <c r="K60">
        <v>84</v>
      </c>
      <c r="L60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15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0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95.2</v>
      </c>
      <c r="W60">
        <f>IF((DiscreteStatsTable[[#This Row],[RepsRequested]]&gt;1),DiscreteStatsTable[[#This Row],[HalfWidth]],DiscreteStatsTable[[#This Row],[BatchMeansHalfWidth]])</f>
        <v>0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15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69</v>
      </c>
      <c r="C61">
        <v>10</v>
      </c>
      <c r="D61" t="s">
        <v>70</v>
      </c>
      <c r="E61" t="s">
        <v>77</v>
      </c>
      <c r="F61" t="s">
        <v>72</v>
      </c>
      <c r="G61">
        <v>0.126942055637284</v>
      </c>
      <c r="H61">
        <v>2E+20</v>
      </c>
      <c r="I61">
        <v>0</v>
      </c>
      <c r="J61">
        <v>3.1238390572310899</v>
      </c>
      <c r="K61">
        <v>84</v>
      </c>
      <c r="L61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15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0.17516590664795043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0.11837060628036969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6.5551456821911144E-2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1.02655423516477E-2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0.42879381521165499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7.1614883448111302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95.2</v>
      </c>
      <c r="W61">
        <f>IF((DiscreteStatsTable[[#This Row],[RepsRequested]]&gt;1),DiscreteStatsTable[[#This Row],[HalfWidth]],DiscreteStatsTable[[#This Row],[BatchMeansHalfWidth]])</f>
        <v>6.5551456821911144E-2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15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69</v>
      </c>
      <c r="C62">
        <v>11</v>
      </c>
      <c r="D62" t="s">
        <v>70</v>
      </c>
      <c r="E62" t="s">
        <v>71</v>
      </c>
      <c r="F62" t="s">
        <v>72</v>
      </c>
      <c r="G62">
        <v>0</v>
      </c>
      <c r="H62">
        <v>2E+20</v>
      </c>
      <c r="I62">
        <v>0</v>
      </c>
      <c r="J62">
        <v>0</v>
      </c>
      <c r="K62">
        <v>99</v>
      </c>
      <c r="L62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15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95.2</v>
      </c>
      <c r="W62" s="5">
        <f>IF((DiscreteStatsTable[[#This Row],[RepsRequested]]&gt;1),DiscreteStatsTable[[#This Row],[HalfWidth]],DiscreteStatsTable[[#This Row],[BatchMeansHalfWidth]])</f>
        <v>0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15</v>
      </c>
      <c r="Y62" s="5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69</v>
      </c>
      <c r="C63">
        <v>11</v>
      </c>
      <c r="D63" t="s">
        <v>70</v>
      </c>
      <c r="E63" t="s">
        <v>73</v>
      </c>
      <c r="F63" t="s">
        <v>72</v>
      </c>
      <c r="G63">
        <v>5.2104779587241001</v>
      </c>
      <c r="H63">
        <v>2E+20</v>
      </c>
      <c r="I63">
        <v>2.2298426260786299</v>
      </c>
      <c r="J63">
        <v>9.0522100587447802</v>
      </c>
      <c r="K63">
        <v>99</v>
      </c>
      <c r="L63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15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5.346138634385782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0.17610350587014989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9.7522870955749352E-2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5.0010572981560202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5.6044026436086396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2.2000089245025798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9.8782374302471094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95.2</v>
      </c>
      <c r="W63" s="5">
        <f>IF((DiscreteStatsTable[[#This Row],[RepsRequested]]&gt;1),DiscreteStatsTable[[#This Row],[HalfWidth]],DiscreteStatsTable[[#This Row],[BatchMeansHalfWidth]])</f>
        <v>9.7522870955749352E-2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15</v>
      </c>
      <c r="Y63" s="5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69</v>
      </c>
      <c r="C64">
        <v>11</v>
      </c>
      <c r="D64" t="s">
        <v>70</v>
      </c>
      <c r="E64" t="s">
        <v>74</v>
      </c>
      <c r="F64" t="s">
        <v>72</v>
      </c>
      <c r="G64">
        <v>5.3584706276816503</v>
      </c>
      <c r="H64">
        <v>2E+20</v>
      </c>
      <c r="I64">
        <v>2.2298426260786299</v>
      </c>
      <c r="J64">
        <v>11.464209052197001</v>
      </c>
      <c r="K64">
        <v>99</v>
      </c>
      <c r="L64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15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5.5213045410337314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0.21715140941682623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0.12025444225983377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5.1279993537933004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5.8751548496606301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2.2298426260786299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14.372657531026899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95.2</v>
      </c>
      <c r="W64" s="5">
        <f>IF((DiscreteStatsTable[[#This Row],[RepsRequested]]&gt;1),DiscreteStatsTable[[#This Row],[HalfWidth]],DiscreteStatsTable[[#This Row],[BatchMeansHalfWidth]])</f>
        <v>0.12025444225983377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15</v>
      </c>
      <c r="Y64" s="5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69</v>
      </c>
      <c r="C65">
        <v>11</v>
      </c>
      <c r="D65" t="s">
        <v>70</v>
      </c>
      <c r="E65" t="s">
        <v>75</v>
      </c>
      <c r="F65" t="s">
        <v>72</v>
      </c>
      <c r="G65">
        <v>0</v>
      </c>
      <c r="H65">
        <v>2E+20</v>
      </c>
      <c r="I65">
        <v>0</v>
      </c>
      <c r="J65">
        <v>0</v>
      </c>
      <c r="K65">
        <v>99</v>
      </c>
      <c r="L65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15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95.2</v>
      </c>
      <c r="W65" s="5">
        <f>IF((DiscreteStatsTable[[#This Row],[RepsRequested]]&gt;1),DiscreteStatsTable[[#This Row],[HalfWidth]],DiscreteStatsTable[[#This Row],[BatchMeansHalfWidth]])</f>
        <v>0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15</v>
      </c>
      <c r="Y65" s="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69</v>
      </c>
      <c r="C66">
        <v>11</v>
      </c>
      <c r="D66" t="s">
        <v>70</v>
      </c>
      <c r="E66" t="s">
        <v>76</v>
      </c>
      <c r="F66" t="s">
        <v>72</v>
      </c>
      <c r="G66">
        <v>0</v>
      </c>
      <c r="H66">
        <v>2E+20</v>
      </c>
      <c r="I66">
        <v>0</v>
      </c>
      <c r="J66">
        <v>0</v>
      </c>
      <c r="K66">
        <v>99</v>
      </c>
      <c r="L66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15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0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0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0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0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0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95.2</v>
      </c>
      <c r="W66" s="5">
        <f>IF((DiscreteStatsTable[[#This Row],[RepsRequested]]&gt;1),DiscreteStatsTable[[#This Row],[HalfWidth]],DiscreteStatsTable[[#This Row],[BatchMeansHalfWidth]])</f>
        <v>0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15</v>
      </c>
      <c r="Y66" s="5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69</v>
      </c>
      <c r="C67">
        <v>11</v>
      </c>
      <c r="D67" t="s">
        <v>70</v>
      </c>
      <c r="E67" t="s">
        <v>77</v>
      </c>
      <c r="F67" t="s">
        <v>72</v>
      </c>
      <c r="G67">
        <v>0.14799266895754501</v>
      </c>
      <c r="H67">
        <v>2E+20</v>
      </c>
      <c r="I67">
        <v>0</v>
      </c>
      <c r="J67">
        <v>3.87276389842603</v>
      </c>
      <c r="K67">
        <v>99</v>
      </c>
      <c r="L67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15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0.17516590664795043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0.11837060628036969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6.5551456821911144E-2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1.02655423516477E-2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0.42879381521165499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7.1614883448111302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95.2</v>
      </c>
      <c r="W67" s="5">
        <f>IF((DiscreteStatsTable[[#This Row],[RepsRequested]]&gt;1),DiscreteStatsTable[[#This Row],[HalfWidth]],DiscreteStatsTable[[#This Row],[BatchMeansHalfWidth]])</f>
        <v>6.5551456821911144E-2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15</v>
      </c>
      <c r="Y67" s="5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69</v>
      </c>
      <c r="C68">
        <v>12</v>
      </c>
      <c r="D68" t="s">
        <v>70</v>
      </c>
      <c r="E68" t="s">
        <v>71</v>
      </c>
      <c r="F68" t="s">
        <v>72</v>
      </c>
      <c r="G68">
        <v>0</v>
      </c>
      <c r="H68">
        <v>2E+20</v>
      </c>
      <c r="I68">
        <v>0</v>
      </c>
      <c r="J68">
        <v>0</v>
      </c>
      <c r="K68">
        <v>84</v>
      </c>
      <c r="L68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15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95.2</v>
      </c>
      <c r="W68" s="5">
        <f>IF((DiscreteStatsTable[[#This Row],[RepsRequested]]&gt;1),DiscreteStatsTable[[#This Row],[HalfWidth]],DiscreteStatsTable[[#This Row],[BatchMeansHalfWidth]])</f>
        <v>0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15</v>
      </c>
      <c r="Y68" s="5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69</v>
      </c>
      <c r="C69">
        <v>12</v>
      </c>
      <c r="D69" t="s">
        <v>70</v>
      </c>
      <c r="E69" t="s">
        <v>73</v>
      </c>
      <c r="F69" t="s">
        <v>72</v>
      </c>
      <c r="G69">
        <v>5.2986254397964698</v>
      </c>
      <c r="H69">
        <v>2E+20</v>
      </c>
      <c r="I69">
        <v>2.2531658295475299</v>
      </c>
      <c r="J69">
        <v>9.4526237641989006</v>
      </c>
      <c r="K69">
        <v>84</v>
      </c>
      <c r="L69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15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5.346138634385782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0.17610350587014989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9.7522870955749352E-2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5.0010572981560202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5.6044026436086396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2.2000089245025798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9.8782374302471094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95.2</v>
      </c>
      <c r="W69" s="5">
        <f>IF((DiscreteStatsTable[[#This Row],[RepsRequested]]&gt;1),DiscreteStatsTable[[#This Row],[HalfWidth]],DiscreteStatsTable[[#This Row],[BatchMeansHalfWidth]])</f>
        <v>9.7522870955749352E-2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15</v>
      </c>
      <c r="Y69" s="5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69</v>
      </c>
      <c r="C70">
        <v>12</v>
      </c>
      <c r="D70" t="s">
        <v>70</v>
      </c>
      <c r="E70" t="s">
        <v>74</v>
      </c>
      <c r="F70" t="s">
        <v>72</v>
      </c>
      <c r="G70">
        <v>5.5242217732291801</v>
      </c>
      <c r="H70">
        <v>2E+20</v>
      </c>
      <c r="I70">
        <v>2.2531658295475299</v>
      </c>
      <c r="J70">
        <v>9.4526237641989006</v>
      </c>
      <c r="K70">
        <v>84</v>
      </c>
      <c r="L70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15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5.5213045410337314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0.21715140941682623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0.12025444225983377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5.1279993537933004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5.8751548496606301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2.2298426260786299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14.372657531026899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95.2</v>
      </c>
      <c r="W70" s="5">
        <f>IF((DiscreteStatsTable[[#This Row],[RepsRequested]]&gt;1),DiscreteStatsTable[[#This Row],[HalfWidth]],DiscreteStatsTable[[#This Row],[BatchMeansHalfWidth]])</f>
        <v>0.12025444225983377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15</v>
      </c>
      <c r="Y70" s="5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69</v>
      </c>
      <c r="C71">
        <v>12</v>
      </c>
      <c r="D71" t="s">
        <v>70</v>
      </c>
      <c r="E71" t="s">
        <v>75</v>
      </c>
      <c r="F71" t="s">
        <v>72</v>
      </c>
      <c r="G71">
        <v>0</v>
      </c>
      <c r="H71">
        <v>2E+20</v>
      </c>
      <c r="I71">
        <v>0</v>
      </c>
      <c r="J71">
        <v>0</v>
      </c>
      <c r="K71">
        <v>84</v>
      </c>
      <c r="L71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15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95.2</v>
      </c>
      <c r="W71" s="5">
        <f>IF((DiscreteStatsTable[[#This Row],[RepsRequested]]&gt;1),DiscreteStatsTable[[#This Row],[HalfWidth]],DiscreteStatsTable[[#This Row],[BatchMeansHalfWidth]])</f>
        <v>0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15</v>
      </c>
      <c r="Y71" s="5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69</v>
      </c>
      <c r="C72">
        <v>12</v>
      </c>
      <c r="D72" t="s">
        <v>70</v>
      </c>
      <c r="E72" t="s">
        <v>76</v>
      </c>
      <c r="F72" t="s">
        <v>72</v>
      </c>
      <c r="G72">
        <v>0</v>
      </c>
      <c r="H72">
        <v>2E+20</v>
      </c>
      <c r="I72">
        <v>0</v>
      </c>
      <c r="J72">
        <v>0</v>
      </c>
      <c r="K72">
        <v>84</v>
      </c>
      <c r="L72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15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0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0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0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0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0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95.2</v>
      </c>
      <c r="W72" s="5">
        <f>IF((DiscreteStatsTable[[#This Row],[RepsRequested]]&gt;1),DiscreteStatsTable[[#This Row],[HalfWidth]],DiscreteStatsTable[[#This Row],[BatchMeansHalfWidth]])</f>
        <v>0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15</v>
      </c>
      <c r="Y72" s="5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69</v>
      </c>
      <c r="C73">
        <v>12</v>
      </c>
      <c r="D73" t="s">
        <v>70</v>
      </c>
      <c r="E73" t="s">
        <v>77</v>
      </c>
      <c r="F73" t="s">
        <v>72</v>
      </c>
      <c r="G73">
        <v>0.22559633343271199</v>
      </c>
      <c r="H73">
        <v>2E+20</v>
      </c>
      <c r="I73">
        <v>0</v>
      </c>
      <c r="J73">
        <v>4.0476584304148</v>
      </c>
      <c r="K73">
        <v>84</v>
      </c>
      <c r="L73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15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0.17516590664795043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0.11837060628036969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6.5551456821911144E-2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1.02655423516477E-2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0.42879381521165499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7.1614883448111302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95.2</v>
      </c>
      <c r="W73" s="5">
        <f>IF((DiscreteStatsTable[[#This Row],[RepsRequested]]&gt;1),DiscreteStatsTable[[#This Row],[HalfWidth]],DiscreteStatsTable[[#This Row],[BatchMeansHalfWidth]])</f>
        <v>6.5551456821911144E-2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15</v>
      </c>
      <c r="Y73" s="5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69</v>
      </c>
      <c r="C74">
        <v>13</v>
      </c>
      <c r="D74" t="s">
        <v>70</v>
      </c>
      <c r="E74" t="s">
        <v>71</v>
      </c>
      <c r="F74" t="s">
        <v>72</v>
      </c>
      <c r="G74">
        <v>0</v>
      </c>
      <c r="H74">
        <v>2E+20</v>
      </c>
      <c r="I74">
        <v>0</v>
      </c>
      <c r="J74">
        <v>0</v>
      </c>
      <c r="K74">
        <v>99</v>
      </c>
      <c r="L74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15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95.2</v>
      </c>
      <c r="W74" s="5">
        <f>IF((DiscreteStatsTable[[#This Row],[RepsRequested]]&gt;1),DiscreteStatsTable[[#This Row],[HalfWidth]],DiscreteStatsTable[[#This Row],[BatchMeansHalfWidth]])</f>
        <v>0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15</v>
      </c>
      <c r="Y74" s="5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69</v>
      </c>
      <c r="C75">
        <v>13</v>
      </c>
      <c r="D75" t="s">
        <v>70</v>
      </c>
      <c r="E75" t="s">
        <v>73</v>
      </c>
      <c r="F75" t="s">
        <v>72</v>
      </c>
      <c r="G75">
        <v>5.3147420731265704</v>
      </c>
      <c r="H75">
        <v>2E+20</v>
      </c>
      <c r="I75">
        <v>2.3723759075102699</v>
      </c>
      <c r="J75">
        <v>9.5016744486604807</v>
      </c>
      <c r="K75">
        <v>99</v>
      </c>
      <c r="L75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15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5.346138634385782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0.17610350587014989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9.7522870955749352E-2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5.0010572981560202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5.6044026436086396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2.2000089245025798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9.8782374302471094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95.2</v>
      </c>
      <c r="W75" s="5">
        <f>IF((DiscreteStatsTable[[#This Row],[RepsRequested]]&gt;1),DiscreteStatsTable[[#This Row],[HalfWidth]],DiscreteStatsTable[[#This Row],[BatchMeansHalfWidth]])</f>
        <v>9.7522870955749352E-2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15</v>
      </c>
      <c r="Y75" s="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69</v>
      </c>
      <c r="C76">
        <v>13</v>
      </c>
      <c r="D76" t="s">
        <v>70</v>
      </c>
      <c r="E76" t="s">
        <v>74</v>
      </c>
      <c r="F76" t="s">
        <v>72</v>
      </c>
      <c r="G76">
        <v>5.4957726482969598</v>
      </c>
      <c r="H76">
        <v>2E+20</v>
      </c>
      <c r="I76">
        <v>2.3723759075102699</v>
      </c>
      <c r="J76">
        <v>13.165606970847801</v>
      </c>
      <c r="K76">
        <v>99</v>
      </c>
      <c r="L76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76" s="5" cm="1">
        <f t="array" ref="M76">MAX(IF((ProjectInfoTable[ProjectName]=DiscreteStatsTable[[#This Row],[ProjectName]]),(ProjectInfoTable[ProjectName]=DiscreteStatsTable[[#This Row],[ProjectName]])*ProjectInfoTable[NumberOfReplications]))</f>
        <v>15</v>
      </c>
      <c r="N76" s="5" cm="1">
        <f t="array" ref="N76">IFERROR(AVERAGE(IF((DiscreteStatsTable[GroupByKey]=DiscreteStatsTable[[#This Row],[GroupByKey]]),(DiscreteStatsTable[GroupByKey]=DiscreteStatsTable[[#This Row],[GroupByKey]])*DiscreteStatsTable[Average])),0)</f>
        <v>5.5213045410337314</v>
      </c>
      <c r="O76" s="5" cm="1">
        <f t="array" ref="O76">IFERROR(_xlfn.STDEV.S(IF((DiscreteStatsTable[GroupByKey]=DiscreteStatsTable[[#This Row],[GroupByKey]]),(DiscreteStatsTable[GroupByKey]=DiscreteStatsTable[[#This Row],[GroupByKey]])*DiscreteStatsTable[Average])),0)</f>
        <v>0.21715140941682623</v>
      </c>
      <c r="P76" s="5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0.12025444225983377</v>
      </c>
      <c r="R76" s="5" cm="1">
        <f t="array" ref="R76">MIN(IF((DiscreteStatsTable[GroupByKey]=DiscreteStatsTable[[#This Row],[GroupByKey]]),(DiscreteStatsTable[GroupByKey]=DiscreteStatsTable[[#This Row],[GroupByKey]])*DiscreteStatsTable[Average]))</f>
        <v>5.1279993537933004</v>
      </c>
      <c r="S76" s="5" cm="1">
        <f t="array" ref="S76">MAX(IF((DiscreteStatsTable[GroupByKey]=DiscreteStatsTable[[#This Row],[GroupByKey]]),(DiscreteStatsTable[GroupByKey]=DiscreteStatsTable[[#This Row],[GroupByKey]])*DiscreteStatsTable[Average]))</f>
        <v>5.8751548496606301</v>
      </c>
      <c r="T76" s="5" cm="1">
        <f t="array" ref="T76">MIN(IF((DiscreteStatsTable[GroupByKey]=DiscreteStatsTable[[#This Row],[GroupByKey]]),(DiscreteStatsTable[GroupByKey]=DiscreteStatsTable[[#This Row],[GroupByKey]])*DiscreteStatsTable[Minimum]))</f>
        <v>2.2298426260786299</v>
      </c>
      <c r="U76" s="5" cm="1">
        <f t="array" ref="U76">MAX(IF((DiscreteStatsTable[GroupByKey]=DiscreteStatsTable[[#This Row],[GroupByKey]]),(DiscreteStatsTable[GroupByKey]=DiscreteStatsTable[[#This Row],[GroupByKey]])*DiscreteStatsTable[Maximum]))</f>
        <v>14.372657531026899</v>
      </c>
      <c r="V76" s="5" cm="1">
        <f t="array" ref="V76">IFERROR(AVERAGE(IF((DiscreteStatsTable[GroupByKey]=DiscreteStatsTable[[#This Row],[GroupByKey]]),(DiscreteStatsTable[GroupByKey]=DiscreteStatsTable[[#This Row],[GroupByKey]])*DiscreteStatsTable[NumberObservations])),0)</f>
        <v>95.2</v>
      </c>
      <c r="W76" s="5">
        <f>IF((DiscreteStatsTable[[#This Row],[RepsRequested]]&gt;1),DiscreteStatsTable[[#This Row],[HalfWidth]],DiscreteStatsTable[[#This Row],[BatchMeansHalfWidth]])</f>
        <v>0.12025444225983377</v>
      </c>
      <c r="X76" s="5" cm="1">
        <f t="array" ref="X76">COUNT(IF((DiscreteStatsTable[GroupByKey]=DiscreteStatsTable[[#This Row],[GroupByKey]]),(DiscreteStatsTable[GroupByKey]=DiscreteStatsTable[[#This Row],[GroupByKey]])*DiscreteStatsTable[Replication]))</f>
        <v>15</v>
      </c>
      <c r="Y76" s="5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69</v>
      </c>
      <c r="C77">
        <v>13</v>
      </c>
      <c r="D77" t="s">
        <v>70</v>
      </c>
      <c r="E77" t="s">
        <v>75</v>
      </c>
      <c r="F77" t="s">
        <v>72</v>
      </c>
      <c r="G77">
        <v>0</v>
      </c>
      <c r="H77">
        <v>2E+20</v>
      </c>
      <c r="I77">
        <v>0</v>
      </c>
      <c r="J77">
        <v>0</v>
      </c>
      <c r="K77">
        <v>99</v>
      </c>
      <c r="L77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77" s="5" cm="1">
        <f t="array" ref="M77">MAX(IF((ProjectInfoTable[ProjectName]=DiscreteStatsTable[[#This Row],[ProjectName]]),(ProjectInfoTable[ProjectName]=DiscreteStatsTable[[#This Row],[ProjectName]])*ProjectInfoTable[NumberOfReplications]))</f>
        <v>15</v>
      </c>
      <c r="N77" s="5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s="5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s="5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s="5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s="5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s="5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s="5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s="5" cm="1">
        <f t="array" ref="V77">IFERROR(AVERAGE(IF((DiscreteStatsTable[GroupByKey]=DiscreteStatsTable[[#This Row],[GroupByKey]]),(DiscreteStatsTable[GroupByKey]=DiscreteStatsTable[[#This Row],[GroupByKey]])*DiscreteStatsTable[NumberObservations])),0)</f>
        <v>95.2</v>
      </c>
      <c r="W77" s="5">
        <f>IF((DiscreteStatsTable[[#This Row],[RepsRequested]]&gt;1),DiscreteStatsTable[[#This Row],[HalfWidth]],DiscreteStatsTable[[#This Row],[BatchMeansHalfWidth]])</f>
        <v>0</v>
      </c>
      <c r="X77" s="5" cm="1">
        <f t="array" ref="X77">COUNT(IF((DiscreteStatsTable[GroupByKey]=DiscreteStatsTable[[#This Row],[GroupByKey]]),(DiscreteStatsTable[GroupByKey]=DiscreteStatsTable[[#This Row],[GroupByKey]])*DiscreteStatsTable[Replication]))</f>
        <v>15</v>
      </c>
      <c r="Y77" s="5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69</v>
      </c>
      <c r="C78">
        <v>13</v>
      </c>
      <c r="D78" t="s">
        <v>70</v>
      </c>
      <c r="E78" t="s">
        <v>76</v>
      </c>
      <c r="F78" t="s">
        <v>72</v>
      </c>
      <c r="G78">
        <v>0</v>
      </c>
      <c r="H78">
        <v>2E+20</v>
      </c>
      <c r="I78">
        <v>0</v>
      </c>
      <c r="J78">
        <v>0</v>
      </c>
      <c r="K78">
        <v>99</v>
      </c>
      <c r="L78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78" s="5" cm="1">
        <f t="array" ref="M78">MAX(IF((ProjectInfoTable[ProjectName]=DiscreteStatsTable[[#This Row],[ProjectName]]),(ProjectInfoTable[ProjectName]=DiscreteStatsTable[[#This Row],[ProjectName]])*ProjectInfoTable[NumberOfReplications]))</f>
        <v>15</v>
      </c>
      <c r="N78" s="5" cm="1">
        <f t="array" ref="N78">IFERROR(AVERAGE(IF((DiscreteStatsTable[GroupByKey]=DiscreteStatsTable[[#This Row],[GroupByKey]]),(DiscreteStatsTable[GroupByKey]=DiscreteStatsTable[[#This Row],[GroupByKey]])*DiscreteStatsTable[Average])),0)</f>
        <v>0</v>
      </c>
      <c r="O78" s="5" cm="1">
        <f t="array" ref="O78">IFERROR(_xlfn.STDEV.S(IF((DiscreteStatsTable[GroupByKey]=DiscreteStatsTable[[#This Row],[GroupByKey]]),(DiscreteStatsTable[GroupByKey]=DiscreteStatsTable[[#This Row],[GroupByKey]])*DiscreteStatsTable[Average])),0)</f>
        <v>0</v>
      </c>
      <c r="P78" s="5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" s="5" cm="1">
        <f t="array" ref="R78">MIN(IF((DiscreteStatsTable[GroupByKey]=DiscreteStatsTable[[#This Row],[GroupByKey]]),(DiscreteStatsTable[GroupByKey]=DiscreteStatsTable[[#This Row],[GroupByKey]])*DiscreteStatsTable[Average]))</f>
        <v>0</v>
      </c>
      <c r="S78" s="5" cm="1">
        <f t="array" ref="S78">MAX(IF((DiscreteStatsTable[GroupByKey]=DiscreteStatsTable[[#This Row],[GroupByKey]]),(DiscreteStatsTable[GroupByKey]=DiscreteStatsTable[[#This Row],[GroupByKey]])*DiscreteStatsTable[Average]))</f>
        <v>0</v>
      </c>
      <c r="T78" s="5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s="5" cm="1">
        <f t="array" ref="U78">MAX(IF((DiscreteStatsTable[GroupByKey]=DiscreteStatsTable[[#This Row],[GroupByKey]]),(DiscreteStatsTable[GroupByKey]=DiscreteStatsTable[[#This Row],[GroupByKey]])*DiscreteStatsTable[Maximum]))</f>
        <v>0</v>
      </c>
      <c r="V78" s="5" cm="1">
        <f t="array" ref="V78">IFERROR(AVERAGE(IF((DiscreteStatsTable[GroupByKey]=DiscreteStatsTable[[#This Row],[GroupByKey]]),(DiscreteStatsTable[GroupByKey]=DiscreteStatsTable[[#This Row],[GroupByKey]])*DiscreteStatsTable[NumberObservations])),0)</f>
        <v>95.2</v>
      </c>
      <c r="W78" s="5">
        <f>IF((DiscreteStatsTable[[#This Row],[RepsRequested]]&gt;1),DiscreteStatsTable[[#This Row],[HalfWidth]],DiscreteStatsTable[[#This Row],[BatchMeansHalfWidth]])</f>
        <v>0</v>
      </c>
      <c r="X78" s="5" cm="1">
        <f t="array" ref="X78">COUNT(IF((DiscreteStatsTable[GroupByKey]=DiscreteStatsTable[[#This Row],[GroupByKey]]),(DiscreteStatsTable[GroupByKey]=DiscreteStatsTable[[#This Row],[GroupByKey]])*DiscreteStatsTable[Replication]))</f>
        <v>15</v>
      </c>
      <c r="Y78" s="5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69</v>
      </c>
      <c r="C79">
        <v>13</v>
      </c>
      <c r="D79" t="s">
        <v>70</v>
      </c>
      <c r="E79" t="s">
        <v>77</v>
      </c>
      <c r="F79" t="s">
        <v>72</v>
      </c>
      <c r="G79">
        <v>0.181030575170401</v>
      </c>
      <c r="H79">
        <v>2E+20</v>
      </c>
      <c r="I79">
        <v>0</v>
      </c>
      <c r="J79">
        <v>4.2487530466776704</v>
      </c>
      <c r="K79">
        <v>99</v>
      </c>
      <c r="L79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79" s="5" cm="1">
        <f t="array" ref="M79">MAX(IF((ProjectInfoTable[ProjectName]=DiscreteStatsTable[[#This Row],[ProjectName]]),(ProjectInfoTable[ProjectName]=DiscreteStatsTable[[#This Row],[ProjectName]])*ProjectInfoTable[NumberOfReplications]))</f>
        <v>15</v>
      </c>
      <c r="N79" s="5" cm="1">
        <f t="array" ref="N79">IFERROR(AVERAGE(IF((DiscreteStatsTable[GroupByKey]=DiscreteStatsTable[[#This Row],[GroupByKey]]),(DiscreteStatsTable[GroupByKey]=DiscreteStatsTable[[#This Row],[GroupByKey]])*DiscreteStatsTable[Average])),0)</f>
        <v>0.17516590664795043</v>
      </c>
      <c r="O79" s="5" cm="1">
        <f t="array" ref="O79">IFERROR(_xlfn.STDEV.S(IF((DiscreteStatsTable[GroupByKey]=DiscreteStatsTable[[#This Row],[GroupByKey]]),(DiscreteStatsTable[GroupByKey]=DiscreteStatsTable[[#This Row],[GroupByKey]])*DiscreteStatsTable[Average])),0)</f>
        <v>0.11837060628036969</v>
      </c>
      <c r="P79" s="5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6.5551456821911144E-2</v>
      </c>
      <c r="R79" s="5" cm="1">
        <f t="array" ref="R79">MIN(IF((DiscreteStatsTable[GroupByKey]=DiscreteStatsTable[[#This Row],[GroupByKey]]),(DiscreteStatsTable[GroupByKey]=DiscreteStatsTable[[#This Row],[GroupByKey]])*DiscreteStatsTable[Average]))</f>
        <v>1.02655423516477E-2</v>
      </c>
      <c r="S79" s="5" cm="1">
        <f t="array" ref="S79">MAX(IF((DiscreteStatsTable[GroupByKey]=DiscreteStatsTable[[#This Row],[GroupByKey]]),(DiscreteStatsTable[GroupByKey]=DiscreteStatsTable[[#This Row],[GroupByKey]])*DiscreteStatsTable[Average]))</f>
        <v>0.42879381521165499</v>
      </c>
      <c r="T79" s="5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s="5" cm="1">
        <f t="array" ref="U79">MAX(IF((DiscreteStatsTable[GroupByKey]=DiscreteStatsTable[[#This Row],[GroupByKey]]),(DiscreteStatsTable[GroupByKey]=DiscreteStatsTable[[#This Row],[GroupByKey]])*DiscreteStatsTable[Maximum]))</f>
        <v>7.1614883448111302</v>
      </c>
      <c r="V79" s="5" cm="1">
        <f t="array" ref="V79">IFERROR(AVERAGE(IF((DiscreteStatsTable[GroupByKey]=DiscreteStatsTable[[#This Row],[GroupByKey]]),(DiscreteStatsTable[GroupByKey]=DiscreteStatsTable[[#This Row],[GroupByKey]])*DiscreteStatsTable[NumberObservations])),0)</f>
        <v>95.2</v>
      </c>
      <c r="W79" s="5">
        <f>IF((DiscreteStatsTable[[#This Row],[RepsRequested]]&gt;1),DiscreteStatsTable[[#This Row],[HalfWidth]],DiscreteStatsTable[[#This Row],[BatchMeansHalfWidth]])</f>
        <v>6.5551456821911144E-2</v>
      </c>
      <c r="X79" s="5" cm="1">
        <f t="array" ref="X79">COUNT(IF((DiscreteStatsTable[GroupByKey]=DiscreteStatsTable[[#This Row],[GroupByKey]]),(DiscreteStatsTable[GroupByKey]=DiscreteStatsTable[[#This Row],[GroupByKey]])*DiscreteStatsTable[Replication]))</f>
        <v>15</v>
      </c>
      <c r="Y79" s="5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69</v>
      </c>
      <c r="C80">
        <v>14</v>
      </c>
      <c r="D80" t="s">
        <v>70</v>
      </c>
      <c r="E80" t="s">
        <v>71</v>
      </c>
      <c r="F80" t="s">
        <v>72</v>
      </c>
      <c r="G80">
        <v>0</v>
      </c>
      <c r="H80">
        <v>2E+20</v>
      </c>
      <c r="I80">
        <v>0</v>
      </c>
      <c r="J80">
        <v>0</v>
      </c>
      <c r="K80">
        <v>94</v>
      </c>
      <c r="L80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80" s="5" cm="1">
        <f t="array" ref="M80">MAX(IF((ProjectInfoTable[ProjectName]=DiscreteStatsTable[[#This Row],[ProjectName]]),(ProjectInfoTable[ProjectName]=DiscreteStatsTable[[#This Row],[ProjectName]])*ProjectInfoTable[NumberOfReplications]))</f>
        <v>15</v>
      </c>
      <c r="N80" s="5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s="5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s="5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s="5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s="5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s="5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s="5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s="5" cm="1">
        <f t="array" ref="V80">IFERROR(AVERAGE(IF((DiscreteStatsTable[GroupByKey]=DiscreteStatsTable[[#This Row],[GroupByKey]]),(DiscreteStatsTable[GroupByKey]=DiscreteStatsTable[[#This Row],[GroupByKey]])*DiscreteStatsTable[NumberObservations])),0)</f>
        <v>95.2</v>
      </c>
      <c r="W80" s="5">
        <f>IF((DiscreteStatsTable[[#This Row],[RepsRequested]]&gt;1),DiscreteStatsTable[[#This Row],[HalfWidth]],DiscreteStatsTable[[#This Row],[BatchMeansHalfWidth]])</f>
        <v>0</v>
      </c>
      <c r="X80" s="5" cm="1">
        <f t="array" ref="X80">COUNT(IF((DiscreteStatsTable[GroupByKey]=DiscreteStatsTable[[#This Row],[GroupByKey]]),(DiscreteStatsTable[GroupByKey]=DiscreteStatsTable[[#This Row],[GroupByKey]])*DiscreteStatsTable[Replication]))</f>
        <v>15</v>
      </c>
      <c r="Y80" s="5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69</v>
      </c>
      <c r="C81">
        <v>14</v>
      </c>
      <c r="D81" t="s">
        <v>70</v>
      </c>
      <c r="E81" t="s">
        <v>73</v>
      </c>
      <c r="F81" t="s">
        <v>72</v>
      </c>
      <c r="G81">
        <v>5.2608706855618799</v>
      </c>
      <c r="H81">
        <v>2E+20</v>
      </c>
      <c r="I81">
        <v>2.61778929194509</v>
      </c>
      <c r="J81">
        <v>9.31819649903764</v>
      </c>
      <c r="K81">
        <v>94</v>
      </c>
      <c r="L81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81" s="5" cm="1">
        <f t="array" ref="M81">MAX(IF((ProjectInfoTable[ProjectName]=DiscreteStatsTable[[#This Row],[ProjectName]]),(ProjectInfoTable[ProjectName]=DiscreteStatsTable[[#This Row],[ProjectName]])*ProjectInfoTable[NumberOfReplications]))</f>
        <v>15</v>
      </c>
      <c r="N81" s="5" cm="1">
        <f t="array" ref="N81">IFERROR(AVERAGE(IF((DiscreteStatsTable[GroupByKey]=DiscreteStatsTable[[#This Row],[GroupByKey]]),(DiscreteStatsTable[GroupByKey]=DiscreteStatsTable[[#This Row],[GroupByKey]])*DiscreteStatsTable[Average])),0)</f>
        <v>5.346138634385782</v>
      </c>
      <c r="O81" s="5" cm="1">
        <f t="array" ref="O81">IFERROR(_xlfn.STDEV.S(IF((DiscreteStatsTable[GroupByKey]=DiscreteStatsTable[[#This Row],[GroupByKey]]),(DiscreteStatsTable[GroupByKey]=DiscreteStatsTable[[#This Row],[GroupByKey]])*DiscreteStatsTable[Average])),0)</f>
        <v>0.17610350587014989</v>
      </c>
      <c r="P81" s="5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9.7522870955749352E-2</v>
      </c>
      <c r="R81" s="5" cm="1">
        <f t="array" ref="R81">MIN(IF((DiscreteStatsTable[GroupByKey]=DiscreteStatsTable[[#This Row],[GroupByKey]]),(DiscreteStatsTable[GroupByKey]=DiscreteStatsTable[[#This Row],[GroupByKey]])*DiscreteStatsTable[Average]))</f>
        <v>5.0010572981560202</v>
      </c>
      <c r="S81" s="5" cm="1">
        <f t="array" ref="S81">MAX(IF((DiscreteStatsTable[GroupByKey]=DiscreteStatsTable[[#This Row],[GroupByKey]]),(DiscreteStatsTable[GroupByKey]=DiscreteStatsTable[[#This Row],[GroupByKey]])*DiscreteStatsTable[Average]))</f>
        <v>5.6044026436086396</v>
      </c>
      <c r="T81" s="5" cm="1">
        <f t="array" ref="T81">MIN(IF((DiscreteStatsTable[GroupByKey]=DiscreteStatsTable[[#This Row],[GroupByKey]]),(DiscreteStatsTable[GroupByKey]=DiscreteStatsTable[[#This Row],[GroupByKey]])*DiscreteStatsTable[Minimum]))</f>
        <v>2.2000089245025798</v>
      </c>
      <c r="U81" s="5" cm="1">
        <f t="array" ref="U81">MAX(IF((DiscreteStatsTable[GroupByKey]=DiscreteStatsTable[[#This Row],[GroupByKey]]),(DiscreteStatsTable[GroupByKey]=DiscreteStatsTable[[#This Row],[GroupByKey]])*DiscreteStatsTable[Maximum]))</f>
        <v>9.8782374302471094</v>
      </c>
      <c r="V81" s="5" cm="1">
        <f t="array" ref="V81">IFERROR(AVERAGE(IF((DiscreteStatsTable[GroupByKey]=DiscreteStatsTable[[#This Row],[GroupByKey]]),(DiscreteStatsTable[GroupByKey]=DiscreteStatsTable[[#This Row],[GroupByKey]])*DiscreteStatsTable[NumberObservations])),0)</f>
        <v>95.2</v>
      </c>
      <c r="W81" s="5">
        <f>IF((DiscreteStatsTable[[#This Row],[RepsRequested]]&gt;1),DiscreteStatsTable[[#This Row],[HalfWidth]],DiscreteStatsTable[[#This Row],[BatchMeansHalfWidth]])</f>
        <v>9.7522870955749352E-2</v>
      </c>
      <c r="X81" s="5" cm="1">
        <f t="array" ref="X81">COUNT(IF((DiscreteStatsTable[GroupByKey]=DiscreteStatsTable[[#This Row],[GroupByKey]]),(DiscreteStatsTable[GroupByKey]=DiscreteStatsTable[[#This Row],[GroupByKey]])*DiscreteStatsTable[Replication]))</f>
        <v>15</v>
      </c>
      <c r="Y81" s="5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69</v>
      </c>
      <c r="C82">
        <v>14</v>
      </c>
      <c r="D82" t="s">
        <v>70</v>
      </c>
      <c r="E82" t="s">
        <v>74</v>
      </c>
      <c r="F82" t="s">
        <v>72</v>
      </c>
      <c r="G82">
        <v>5.4400143960287801</v>
      </c>
      <c r="H82">
        <v>2E+20</v>
      </c>
      <c r="I82">
        <v>2.61778929194509</v>
      </c>
      <c r="J82">
        <v>9.31819649903764</v>
      </c>
      <c r="K82">
        <v>94</v>
      </c>
      <c r="L82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82" s="5" cm="1">
        <f t="array" ref="M82">MAX(IF((ProjectInfoTable[ProjectName]=DiscreteStatsTable[[#This Row],[ProjectName]]),(ProjectInfoTable[ProjectName]=DiscreteStatsTable[[#This Row],[ProjectName]])*ProjectInfoTable[NumberOfReplications]))</f>
        <v>15</v>
      </c>
      <c r="N82" s="5" cm="1">
        <f t="array" ref="N82">IFERROR(AVERAGE(IF((DiscreteStatsTable[GroupByKey]=DiscreteStatsTable[[#This Row],[GroupByKey]]),(DiscreteStatsTable[GroupByKey]=DiscreteStatsTable[[#This Row],[GroupByKey]])*DiscreteStatsTable[Average])),0)</f>
        <v>5.5213045410337314</v>
      </c>
      <c r="O82" s="5" cm="1">
        <f t="array" ref="O82">IFERROR(_xlfn.STDEV.S(IF((DiscreteStatsTable[GroupByKey]=DiscreteStatsTable[[#This Row],[GroupByKey]]),(DiscreteStatsTable[GroupByKey]=DiscreteStatsTable[[#This Row],[GroupByKey]])*DiscreteStatsTable[Average])),0)</f>
        <v>0.21715140941682623</v>
      </c>
      <c r="P82" s="5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 s="5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0.12025444225983377</v>
      </c>
      <c r="R82" s="5" cm="1">
        <f t="array" ref="R82">MIN(IF((DiscreteStatsTable[GroupByKey]=DiscreteStatsTable[[#This Row],[GroupByKey]]),(DiscreteStatsTable[GroupByKey]=DiscreteStatsTable[[#This Row],[GroupByKey]])*DiscreteStatsTable[Average]))</f>
        <v>5.1279993537933004</v>
      </c>
      <c r="S82" s="5" cm="1">
        <f t="array" ref="S82">MAX(IF((DiscreteStatsTable[GroupByKey]=DiscreteStatsTable[[#This Row],[GroupByKey]]),(DiscreteStatsTable[GroupByKey]=DiscreteStatsTable[[#This Row],[GroupByKey]])*DiscreteStatsTable[Average]))</f>
        <v>5.8751548496606301</v>
      </c>
      <c r="T82" s="5" cm="1">
        <f t="array" ref="T82">MIN(IF((DiscreteStatsTable[GroupByKey]=DiscreteStatsTable[[#This Row],[GroupByKey]]),(DiscreteStatsTable[GroupByKey]=DiscreteStatsTable[[#This Row],[GroupByKey]])*DiscreteStatsTable[Minimum]))</f>
        <v>2.2298426260786299</v>
      </c>
      <c r="U82" s="5" cm="1">
        <f t="array" ref="U82">MAX(IF((DiscreteStatsTable[GroupByKey]=DiscreteStatsTable[[#This Row],[GroupByKey]]),(DiscreteStatsTable[GroupByKey]=DiscreteStatsTable[[#This Row],[GroupByKey]])*DiscreteStatsTable[Maximum]))</f>
        <v>14.372657531026899</v>
      </c>
      <c r="V82" s="5" cm="1">
        <f t="array" ref="V82">IFERROR(AVERAGE(IF((DiscreteStatsTable[GroupByKey]=DiscreteStatsTable[[#This Row],[GroupByKey]]),(DiscreteStatsTable[GroupByKey]=DiscreteStatsTable[[#This Row],[GroupByKey]])*DiscreteStatsTable[NumberObservations])),0)</f>
        <v>95.2</v>
      </c>
      <c r="W82" s="5">
        <f>IF((DiscreteStatsTable[[#This Row],[RepsRequested]]&gt;1),DiscreteStatsTable[[#This Row],[HalfWidth]],DiscreteStatsTable[[#This Row],[BatchMeansHalfWidth]])</f>
        <v>0.12025444225983377</v>
      </c>
      <c r="X82" s="5" cm="1">
        <f t="array" ref="X82">COUNT(IF((DiscreteStatsTable[GroupByKey]=DiscreteStatsTable[[#This Row],[GroupByKey]]),(DiscreteStatsTable[GroupByKey]=DiscreteStatsTable[[#This Row],[GroupByKey]])*DiscreteStatsTable[Replication]))</f>
        <v>15</v>
      </c>
      <c r="Y82" s="5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69</v>
      </c>
      <c r="C83">
        <v>14</v>
      </c>
      <c r="D83" t="s">
        <v>70</v>
      </c>
      <c r="E83" t="s">
        <v>75</v>
      </c>
      <c r="F83" t="s">
        <v>72</v>
      </c>
      <c r="G83">
        <v>0</v>
      </c>
      <c r="H83">
        <v>2E+20</v>
      </c>
      <c r="I83">
        <v>0</v>
      </c>
      <c r="J83">
        <v>0</v>
      </c>
      <c r="K83">
        <v>94</v>
      </c>
      <c r="L83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83" s="5" cm="1">
        <f t="array" ref="M83">MAX(IF((ProjectInfoTable[ProjectName]=DiscreteStatsTable[[#This Row],[ProjectName]]),(ProjectInfoTable[ProjectName]=DiscreteStatsTable[[#This Row],[ProjectName]])*ProjectInfoTable[NumberOfReplications]))</f>
        <v>15</v>
      </c>
      <c r="N83" s="5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s="5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s="5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 s="5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s="5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s="5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s="5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s="5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s="5" cm="1">
        <f t="array" ref="V83">IFERROR(AVERAGE(IF((DiscreteStatsTable[GroupByKey]=DiscreteStatsTable[[#This Row],[GroupByKey]]),(DiscreteStatsTable[GroupByKey]=DiscreteStatsTable[[#This Row],[GroupByKey]])*DiscreteStatsTable[NumberObservations])),0)</f>
        <v>95.2</v>
      </c>
      <c r="W83" s="5">
        <f>IF((DiscreteStatsTable[[#This Row],[RepsRequested]]&gt;1),DiscreteStatsTable[[#This Row],[HalfWidth]],DiscreteStatsTable[[#This Row],[BatchMeansHalfWidth]])</f>
        <v>0</v>
      </c>
      <c r="X83" s="5" cm="1">
        <f t="array" ref="X83">COUNT(IF((DiscreteStatsTable[GroupByKey]=DiscreteStatsTable[[#This Row],[GroupByKey]]),(DiscreteStatsTable[GroupByKey]=DiscreteStatsTable[[#This Row],[GroupByKey]])*DiscreteStatsTable[Replication]))</f>
        <v>15</v>
      </c>
      <c r="Y83" s="5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69</v>
      </c>
      <c r="C84">
        <v>14</v>
      </c>
      <c r="D84" t="s">
        <v>70</v>
      </c>
      <c r="E84" t="s">
        <v>76</v>
      </c>
      <c r="F84" t="s">
        <v>72</v>
      </c>
      <c r="G84">
        <v>0</v>
      </c>
      <c r="H84">
        <v>2E+20</v>
      </c>
      <c r="I84">
        <v>0</v>
      </c>
      <c r="J84">
        <v>0</v>
      </c>
      <c r="K84">
        <v>94</v>
      </c>
      <c r="L84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84" s="5" cm="1">
        <f t="array" ref="M84">MAX(IF((ProjectInfoTable[ProjectName]=DiscreteStatsTable[[#This Row],[ProjectName]]),(ProjectInfoTable[ProjectName]=DiscreteStatsTable[[#This Row],[ProjectName]])*ProjectInfoTable[NumberOfReplications]))</f>
        <v>15</v>
      </c>
      <c r="N84" s="5" cm="1">
        <f t="array" ref="N84">IFERROR(AVERAGE(IF((DiscreteStatsTable[GroupByKey]=DiscreteStatsTable[[#This Row],[GroupByKey]]),(DiscreteStatsTable[GroupByKey]=DiscreteStatsTable[[#This Row],[GroupByKey]])*DiscreteStatsTable[Average])),0)</f>
        <v>0</v>
      </c>
      <c r="O84" s="5" cm="1">
        <f t="array" ref="O84">IFERROR(_xlfn.STDEV.S(IF((DiscreteStatsTable[GroupByKey]=DiscreteStatsTable[[#This Row],[GroupByKey]]),(DiscreteStatsTable[GroupByKey]=DiscreteStatsTable[[#This Row],[GroupByKey]])*DiscreteStatsTable[Average])),0)</f>
        <v>0</v>
      </c>
      <c r="P84" s="5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 s="5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" s="5" cm="1">
        <f t="array" ref="R84">MIN(IF((DiscreteStatsTable[GroupByKey]=DiscreteStatsTable[[#This Row],[GroupByKey]]),(DiscreteStatsTable[GroupByKey]=DiscreteStatsTable[[#This Row],[GroupByKey]])*DiscreteStatsTable[Average]))</f>
        <v>0</v>
      </c>
      <c r="S84" s="5" cm="1">
        <f t="array" ref="S84">MAX(IF((DiscreteStatsTable[GroupByKey]=DiscreteStatsTable[[#This Row],[GroupByKey]]),(DiscreteStatsTable[GroupByKey]=DiscreteStatsTable[[#This Row],[GroupByKey]])*DiscreteStatsTable[Average]))</f>
        <v>0</v>
      </c>
      <c r="T84" s="5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s="5" cm="1">
        <f t="array" ref="U84">MAX(IF((DiscreteStatsTable[GroupByKey]=DiscreteStatsTable[[#This Row],[GroupByKey]]),(DiscreteStatsTable[GroupByKey]=DiscreteStatsTable[[#This Row],[GroupByKey]])*DiscreteStatsTable[Maximum]))</f>
        <v>0</v>
      </c>
      <c r="V84" s="5" cm="1">
        <f t="array" ref="V84">IFERROR(AVERAGE(IF((DiscreteStatsTable[GroupByKey]=DiscreteStatsTable[[#This Row],[GroupByKey]]),(DiscreteStatsTable[GroupByKey]=DiscreteStatsTable[[#This Row],[GroupByKey]])*DiscreteStatsTable[NumberObservations])),0)</f>
        <v>95.2</v>
      </c>
      <c r="W84" s="5">
        <f>IF((DiscreteStatsTable[[#This Row],[RepsRequested]]&gt;1),DiscreteStatsTable[[#This Row],[HalfWidth]],DiscreteStatsTable[[#This Row],[BatchMeansHalfWidth]])</f>
        <v>0</v>
      </c>
      <c r="X84" s="5" cm="1">
        <f t="array" ref="X84">COUNT(IF((DiscreteStatsTable[GroupByKey]=DiscreteStatsTable[[#This Row],[GroupByKey]]),(DiscreteStatsTable[GroupByKey]=DiscreteStatsTable[[#This Row],[GroupByKey]])*DiscreteStatsTable[Replication]))</f>
        <v>15</v>
      </c>
      <c r="Y84" s="5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69</v>
      </c>
      <c r="C85">
        <v>14</v>
      </c>
      <c r="D85" t="s">
        <v>70</v>
      </c>
      <c r="E85" t="s">
        <v>77</v>
      </c>
      <c r="F85" t="s">
        <v>72</v>
      </c>
      <c r="G85">
        <v>0.179143710466899</v>
      </c>
      <c r="H85">
        <v>2E+20</v>
      </c>
      <c r="I85">
        <v>0</v>
      </c>
      <c r="J85">
        <v>2.5116925185140202</v>
      </c>
      <c r="K85">
        <v>94</v>
      </c>
      <c r="L85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85" s="5" cm="1">
        <f t="array" ref="M85">MAX(IF((ProjectInfoTable[ProjectName]=DiscreteStatsTable[[#This Row],[ProjectName]]),(ProjectInfoTable[ProjectName]=DiscreteStatsTable[[#This Row],[ProjectName]])*ProjectInfoTable[NumberOfReplications]))</f>
        <v>15</v>
      </c>
      <c r="N85" s="5" cm="1">
        <f t="array" ref="N85">IFERROR(AVERAGE(IF((DiscreteStatsTable[GroupByKey]=DiscreteStatsTable[[#This Row],[GroupByKey]]),(DiscreteStatsTable[GroupByKey]=DiscreteStatsTable[[#This Row],[GroupByKey]])*DiscreteStatsTable[Average])),0)</f>
        <v>0.17516590664795043</v>
      </c>
      <c r="O85" s="5" cm="1">
        <f t="array" ref="O85">IFERROR(_xlfn.STDEV.S(IF((DiscreteStatsTable[GroupByKey]=DiscreteStatsTable[[#This Row],[GroupByKey]]),(DiscreteStatsTable[GroupByKey]=DiscreteStatsTable[[#This Row],[GroupByKey]])*DiscreteStatsTable[Average])),0)</f>
        <v>0.11837060628036969</v>
      </c>
      <c r="P85" s="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 s="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6.5551456821911144E-2</v>
      </c>
      <c r="R85" s="5" cm="1">
        <f t="array" ref="R85">MIN(IF((DiscreteStatsTable[GroupByKey]=DiscreteStatsTable[[#This Row],[GroupByKey]]),(DiscreteStatsTable[GroupByKey]=DiscreteStatsTable[[#This Row],[GroupByKey]])*DiscreteStatsTable[Average]))</f>
        <v>1.02655423516477E-2</v>
      </c>
      <c r="S85" s="5" cm="1">
        <f t="array" ref="S85">MAX(IF((DiscreteStatsTable[GroupByKey]=DiscreteStatsTable[[#This Row],[GroupByKey]]),(DiscreteStatsTable[GroupByKey]=DiscreteStatsTable[[#This Row],[GroupByKey]])*DiscreteStatsTable[Average]))</f>
        <v>0.42879381521165499</v>
      </c>
      <c r="T85" s="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s="5" cm="1">
        <f t="array" ref="U85">MAX(IF((DiscreteStatsTable[GroupByKey]=DiscreteStatsTable[[#This Row],[GroupByKey]]),(DiscreteStatsTable[GroupByKey]=DiscreteStatsTable[[#This Row],[GroupByKey]])*DiscreteStatsTable[Maximum]))</f>
        <v>7.1614883448111302</v>
      </c>
      <c r="V85" s="5" cm="1">
        <f t="array" ref="V85">IFERROR(AVERAGE(IF((DiscreteStatsTable[GroupByKey]=DiscreteStatsTable[[#This Row],[GroupByKey]]),(DiscreteStatsTable[GroupByKey]=DiscreteStatsTable[[#This Row],[GroupByKey]])*DiscreteStatsTable[NumberObservations])),0)</f>
        <v>95.2</v>
      </c>
      <c r="W85" s="5">
        <f>IF((DiscreteStatsTable[[#This Row],[RepsRequested]]&gt;1),DiscreteStatsTable[[#This Row],[HalfWidth]],DiscreteStatsTable[[#This Row],[BatchMeansHalfWidth]])</f>
        <v>6.5551456821911144E-2</v>
      </c>
      <c r="X85" s="5" cm="1">
        <f t="array" ref="X85">COUNT(IF((DiscreteStatsTable[GroupByKey]=DiscreteStatsTable[[#This Row],[GroupByKey]]),(DiscreteStatsTable[GroupByKey]=DiscreteStatsTable[[#This Row],[GroupByKey]])*DiscreteStatsTable[Replication]))</f>
        <v>15</v>
      </c>
      <c r="Y85" s="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69</v>
      </c>
      <c r="C86">
        <v>15</v>
      </c>
      <c r="D86" t="s">
        <v>70</v>
      </c>
      <c r="E86" t="s">
        <v>71</v>
      </c>
      <c r="F86" t="s">
        <v>72</v>
      </c>
      <c r="G86">
        <v>0</v>
      </c>
      <c r="H86">
        <v>2E+20</v>
      </c>
      <c r="I86">
        <v>0</v>
      </c>
      <c r="J86">
        <v>0</v>
      </c>
      <c r="K86">
        <v>86</v>
      </c>
      <c r="L86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86" s="5" cm="1">
        <f t="array" ref="M86">MAX(IF((ProjectInfoTable[ProjectName]=DiscreteStatsTable[[#This Row],[ProjectName]]),(ProjectInfoTable[ProjectName]=DiscreteStatsTable[[#This Row],[ProjectName]])*ProjectInfoTable[NumberOfReplications]))</f>
        <v>15</v>
      </c>
      <c r="N86" s="5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s="5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s="5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 s="5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s="5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s="5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s="5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s="5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s="5" cm="1">
        <f t="array" ref="V86">IFERROR(AVERAGE(IF((DiscreteStatsTable[GroupByKey]=DiscreteStatsTable[[#This Row],[GroupByKey]]),(DiscreteStatsTable[GroupByKey]=DiscreteStatsTable[[#This Row],[GroupByKey]])*DiscreteStatsTable[NumberObservations])),0)</f>
        <v>95.2</v>
      </c>
      <c r="W86" s="5">
        <f>IF((DiscreteStatsTable[[#This Row],[RepsRequested]]&gt;1),DiscreteStatsTable[[#This Row],[HalfWidth]],DiscreteStatsTable[[#This Row],[BatchMeansHalfWidth]])</f>
        <v>0</v>
      </c>
      <c r="X86" s="5" cm="1">
        <f t="array" ref="X86">COUNT(IF((DiscreteStatsTable[GroupByKey]=DiscreteStatsTable[[#This Row],[GroupByKey]]),(DiscreteStatsTable[GroupByKey]=DiscreteStatsTable[[#This Row],[GroupByKey]])*DiscreteStatsTable[Replication]))</f>
        <v>15</v>
      </c>
      <c r="Y86" s="5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69</v>
      </c>
      <c r="C87">
        <v>15</v>
      </c>
      <c r="D87" t="s">
        <v>70</v>
      </c>
      <c r="E87" t="s">
        <v>73</v>
      </c>
      <c r="F87" t="s">
        <v>72</v>
      </c>
      <c r="G87">
        <v>5.3551086833417196</v>
      </c>
      <c r="H87">
        <v>2E+20</v>
      </c>
      <c r="I87">
        <v>2.61302199900378</v>
      </c>
      <c r="J87">
        <v>9.6510214631644509</v>
      </c>
      <c r="K87">
        <v>86</v>
      </c>
      <c r="L87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87" s="5" cm="1">
        <f t="array" ref="M87">MAX(IF((ProjectInfoTable[ProjectName]=DiscreteStatsTable[[#This Row],[ProjectName]]),(ProjectInfoTable[ProjectName]=DiscreteStatsTable[[#This Row],[ProjectName]])*ProjectInfoTable[NumberOfReplications]))</f>
        <v>15</v>
      </c>
      <c r="N87" s="5" cm="1">
        <f t="array" ref="N87">IFERROR(AVERAGE(IF((DiscreteStatsTable[GroupByKey]=DiscreteStatsTable[[#This Row],[GroupByKey]]),(DiscreteStatsTable[GroupByKey]=DiscreteStatsTable[[#This Row],[GroupByKey]])*DiscreteStatsTable[Average])),0)</f>
        <v>5.346138634385782</v>
      </c>
      <c r="O87" s="5" cm="1">
        <f t="array" ref="O87">IFERROR(_xlfn.STDEV.S(IF((DiscreteStatsTable[GroupByKey]=DiscreteStatsTable[[#This Row],[GroupByKey]]),(DiscreteStatsTable[GroupByKey]=DiscreteStatsTable[[#This Row],[GroupByKey]])*DiscreteStatsTable[Average])),0)</f>
        <v>0.17610350587014989</v>
      </c>
      <c r="P87" s="5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 s="5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9.7522870955749352E-2</v>
      </c>
      <c r="R87" s="5" cm="1">
        <f t="array" ref="R87">MIN(IF((DiscreteStatsTable[GroupByKey]=DiscreteStatsTable[[#This Row],[GroupByKey]]),(DiscreteStatsTable[GroupByKey]=DiscreteStatsTable[[#This Row],[GroupByKey]])*DiscreteStatsTable[Average]))</f>
        <v>5.0010572981560202</v>
      </c>
      <c r="S87" s="5" cm="1">
        <f t="array" ref="S87">MAX(IF((DiscreteStatsTable[GroupByKey]=DiscreteStatsTable[[#This Row],[GroupByKey]]),(DiscreteStatsTable[GroupByKey]=DiscreteStatsTable[[#This Row],[GroupByKey]])*DiscreteStatsTable[Average]))</f>
        <v>5.6044026436086396</v>
      </c>
      <c r="T87" s="5" cm="1">
        <f t="array" ref="T87">MIN(IF((DiscreteStatsTable[GroupByKey]=DiscreteStatsTable[[#This Row],[GroupByKey]]),(DiscreteStatsTable[GroupByKey]=DiscreteStatsTable[[#This Row],[GroupByKey]])*DiscreteStatsTable[Minimum]))</f>
        <v>2.2000089245025798</v>
      </c>
      <c r="U87" s="5" cm="1">
        <f t="array" ref="U87">MAX(IF((DiscreteStatsTable[GroupByKey]=DiscreteStatsTable[[#This Row],[GroupByKey]]),(DiscreteStatsTable[GroupByKey]=DiscreteStatsTable[[#This Row],[GroupByKey]])*DiscreteStatsTable[Maximum]))</f>
        <v>9.8782374302471094</v>
      </c>
      <c r="V87" s="5" cm="1">
        <f t="array" ref="V87">IFERROR(AVERAGE(IF((DiscreteStatsTable[GroupByKey]=DiscreteStatsTable[[#This Row],[GroupByKey]]),(DiscreteStatsTable[GroupByKey]=DiscreteStatsTable[[#This Row],[GroupByKey]])*DiscreteStatsTable[NumberObservations])),0)</f>
        <v>95.2</v>
      </c>
      <c r="W87" s="5">
        <f>IF((DiscreteStatsTable[[#This Row],[RepsRequested]]&gt;1),DiscreteStatsTable[[#This Row],[HalfWidth]],DiscreteStatsTable[[#This Row],[BatchMeansHalfWidth]])</f>
        <v>9.7522870955749352E-2</v>
      </c>
      <c r="X87" s="5" cm="1">
        <f t="array" ref="X87">COUNT(IF((DiscreteStatsTable[GroupByKey]=DiscreteStatsTable[[#This Row],[GroupByKey]]),(DiscreteStatsTable[GroupByKey]=DiscreteStatsTable[[#This Row],[GroupByKey]])*DiscreteStatsTable[Replication]))</f>
        <v>15</v>
      </c>
      <c r="Y87" s="5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69</v>
      </c>
      <c r="C88">
        <v>15</v>
      </c>
      <c r="D88" t="s">
        <v>70</v>
      </c>
      <c r="E88" t="s">
        <v>74</v>
      </c>
      <c r="F88" t="s">
        <v>72</v>
      </c>
      <c r="G88">
        <v>5.4546680745995504</v>
      </c>
      <c r="H88">
        <v>2E+20</v>
      </c>
      <c r="I88">
        <v>2.61302199900378</v>
      </c>
      <c r="J88">
        <v>12.598106638146801</v>
      </c>
      <c r="K88">
        <v>86</v>
      </c>
      <c r="L88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88" s="5" cm="1">
        <f t="array" ref="M88">MAX(IF((ProjectInfoTable[ProjectName]=DiscreteStatsTable[[#This Row],[ProjectName]]),(ProjectInfoTable[ProjectName]=DiscreteStatsTable[[#This Row],[ProjectName]])*ProjectInfoTable[NumberOfReplications]))</f>
        <v>15</v>
      </c>
      <c r="N88" s="5" cm="1">
        <f t="array" ref="N88">IFERROR(AVERAGE(IF((DiscreteStatsTable[GroupByKey]=DiscreteStatsTable[[#This Row],[GroupByKey]]),(DiscreteStatsTable[GroupByKey]=DiscreteStatsTable[[#This Row],[GroupByKey]])*DiscreteStatsTable[Average])),0)</f>
        <v>5.5213045410337314</v>
      </c>
      <c r="O88" s="5" cm="1">
        <f t="array" ref="O88">IFERROR(_xlfn.STDEV.S(IF((DiscreteStatsTable[GroupByKey]=DiscreteStatsTable[[#This Row],[GroupByKey]]),(DiscreteStatsTable[GroupByKey]=DiscreteStatsTable[[#This Row],[GroupByKey]])*DiscreteStatsTable[Average])),0)</f>
        <v>0.21715140941682623</v>
      </c>
      <c r="P88" s="5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 s="5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0.12025444225983377</v>
      </c>
      <c r="R88" s="5" cm="1">
        <f t="array" ref="R88">MIN(IF((DiscreteStatsTable[GroupByKey]=DiscreteStatsTable[[#This Row],[GroupByKey]]),(DiscreteStatsTable[GroupByKey]=DiscreteStatsTable[[#This Row],[GroupByKey]])*DiscreteStatsTable[Average]))</f>
        <v>5.1279993537933004</v>
      </c>
      <c r="S88" s="5" cm="1">
        <f t="array" ref="S88">MAX(IF((DiscreteStatsTable[GroupByKey]=DiscreteStatsTable[[#This Row],[GroupByKey]]),(DiscreteStatsTable[GroupByKey]=DiscreteStatsTable[[#This Row],[GroupByKey]])*DiscreteStatsTable[Average]))</f>
        <v>5.8751548496606301</v>
      </c>
      <c r="T88" s="5" cm="1">
        <f t="array" ref="T88">MIN(IF((DiscreteStatsTable[GroupByKey]=DiscreteStatsTable[[#This Row],[GroupByKey]]),(DiscreteStatsTable[GroupByKey]=DiscreteStatsTable[[#This Row],[GroupByKey]])*DiscreteStatsTable[Minimum]))</f>
        <v>2.2298426260786299</v>
      </c>
      <c r="U88" s="5" cm="1">
        <f t="array" ref="U88">MAX(IF((DiscreteStatsTable[GroupByKey]=DiscreteStatsTable[[#This Row],[GroupByKey]]),(DiscreteStatsTable[GroupByKey]=DiscreteStatsTable[[#This Row],[GroupByKey]])*DiscreteStatsTable[Maximum]))</f>
        <v>14.372657531026899</v>
      </c>
      <c r="V88" s="5" cm="1">
        <f t="array" ref="V88">IFERROR(AVERAGE(IF((DiscreteStatsTable[GroupByKey]=DiscreteStatsTable[[#This Row],[GroupByKey]]),(DiscreteStatsTable[GroupByKey]=DiscreteStatsTable[[#This Row],[GroupByKey]])*DiscreteStatsTable[NumberObservations])),0)</f>
        <v>95.2</v>
      </c>
      <c r="W88" s="5">
        <f>IF((DiscreteStatsTable[[#This Row],[RepsRequested]]&gt;1),DiscreteStatsTable[[#This Row],[HalfWidth]],DiscreteStatsTable[[#This Row],[BatchMeansHalfWidth]])</f>
        <v>0.12025444225983377</v>
      </c>
      <c r="X88" s="5" cm="1">
        <f t="array" ref="X88">COUNT(IF((DiscreteStatsTable[GroupByKey]=DiscreteStatsTable[[#This Row],[GroupByKey]]),(DiscreteStatsTable[GroupByKey]=DiscreteStatsTable[[#This Row],[GroupByKey]])*DiscreteStatsTable[Replication]))</f>
        <v>15</v>
      </c>
      <c r="Y88" s="5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69</v>
      </c>
      <c r="C89">
        <v>15</v>
      </c>
      <c r="D89" t="s">
        <v>70</v>
      </c>
      <c r="E89" t="s">
        <v>75</v>
      </c>
      <c r="F89" t="s">
        <v>72</v>
      </c>
      <c r="G89">
        <v>0</v>
      </c>
      <c r="H89">
        <v>2E+20</v>
      </c>
      <c r="I89">
        <v>0</v>
      </c>
      <c r="J89">
        <v>0</v>
      </c>
      <c r="K89">
        <v>86</v>
      </c>
      <c r="L89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89" s="5" cm="1">
        <f t="array" ref="M89">MAX(IF((ProjectInfoTable[ProjectName]=DiscreteStatsTable[[#This Row],[ProjectName]]),(ProjectInfoTable[ProjectName]=DiscreteStatsTable[[#This Row],[ProjectName]])*ProjectInfoTable[NumberOfReplications]))</f>
        <v>15</v>
      </c>
      <c r="N89" s="5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s="5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s="5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 s="5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s="5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s="5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s="5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s="5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s="5" cm="1">
        <f t="array" ref="V89">IFERROR(AVERAGE(IF((DiscreteStatsTable[GroupByKey]=DiscreteStatsTable[[#This Row],[GroupByKey]]),(DiscreteStatsTable[GroupByKey]=DiscreteStatsTable[[#This Row],[GroupByKey]])*DiscreteStatsTable[NumberObservations])),0)</f>
        <v>95.2</v>
      </c>
      <c r="W89" s="5">
        <f>IF((DiscreteStatsTable[[#This Row],[RepsRequested]]&gt;1),DiscreteStatsTable[[#This Row],[HalfWidth]],DiscreteStatsTable[[#This Row],[BatchMeansHalfWidth]])</f>
        <v>0</v>
      </c>
      <c r="X89" s="5" cm="1">
        <f t="array" ref="X89">COUNT(IF((DiscreteStatsTable[GroupByKey]=DiscreteStatsTable[[#This Row],[GroupByKey]]),(DiscreteStatsTable[GroupByKey]=DiscreteStatsTable[[#This Row],[GroupByKey]])*DiscreteStatsTable[Replication]))</f>
        <v>15</v>
      </c>
      <c r="Y89" s="5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69</v>
      </c>
      <c r="C90">
        <v>15</v>
      </c>
      <c r="D90" t="s">
        <v>70</v>
      </c>
      <c r="E90" t="s">
        <v>76</v>
      </c>
      <c r="F90" t="s">
        <v>72</v>
      </c>
      <c r="G90">
        <v>0</v>
      </c>
      <c r="H90">
        <v>2E+20</v>
      </c>
      <c r="I90">
        <v>0</v>
      </c>
      <c r="J90">
        <v>0</v>
      </c>
      <c r="K90">
        <v>86</v>
      </c>
      <c r="L90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90" s="5" cm="1">
        <f t="array" ref="M90">MAX(IF((ProjectInfoTable[ProjectName]=DiscreteStatsTable[[#This Row],[ProjectName]]),(ProjectInfoTable[ProjectName]=DiscreteStatsTable[[#This Row],[ProjectName]])*ProjectInfoTable[NumberOfReplications]))</f>
        <v>15</v>
      </c>
      <c r="N90" s="5" cm="1">
        <f t="array" ref="N90">IFERROR(AVERAGE(IF((DiscreteStatsTable[GroupByKey]=DiscreteStatsTable[[#This Row],[GroupByKey]]),(DiscreteStatsTable[GroupByKey]=DiscreteStatsTable[[#This Row],[GroupByKey]])*DiscreteStatsTable[Average])),0)</f>
        <v>0</v>
      </c>
      <c r="O90" s="5" cm="1">
        <f t="array" ref="O90">IFERROR(_xlfn.STDEV.S(IF((DiscreteStatsTable[GroupByKey]=DiscreteStatsTable[[#This Row],[GroupByKey]]),(DiscreteStatsTable[GroupByKey]=DiscreteStatsTable[[#This Row],[GroupByKey]])*DiscreteStatsTable[Average])),0)</f>
        <v>0</v>
      </c>
      <c r="P90" s="5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 s="5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" s="5" cm="1">
        <f t="array" ref="R90">MIN(IF((DiscreteStatsTable[GroupByKey]=DiscreteStatsTable[[#This Row],[GroupByKey]]),(DiscreteStatsTable[GroupByKey]=DiscreteStatsTable[[#This Row],[GroupByKey]])*DiscreteStatsTable[Average]))</f>
        <v>0</v>
      </c>
      <c r="S90" s="5" cm="1">
        <f t="array" ref="S90">MAX(IF((DiscreteStatsTable[GroupByKey]=DiscreteStatsTable[[#This Row],[GroupByKey]]),(DiscreteStatsTable[GroupByKey]=DiscreteStatsTable[[#This Row],[GroupByKey]])*DiscreteStatsTable[Average]))</f>
        <v>0</v>
      </c>
      <c r="T90" s="5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s="5" cm="1">
        <f t="array" ref="U90">MAX(IF((DiscreteStatsTable[GroupByKey]=DiscreteStatsTable[[#This Row],[GroupByKey]]),(DiscreteStatsTable[GroupByKey]=DiscreteStatsTable[[#This Row],[GroupByKey]])*DiscreteStatsTable[Maximum]))</f>
        <v>0</v>
      </c>
      <c r="V90" s="5" cm="1">
        <f t="array" ref="V90">IFERROR(AVERAGE(IF((DiscreteStatsTable[GroupByKey]=DiscreteStatsTable[[#This Row],[GroupByKey]]),(DiscreteStatsTable[GroupByKey]=DiscreteStatsTable[[#This Row],[GroupByKey]])*DiscreteStatsTable[NumberObservations])),0)</f>
        <v>95.2</v>
      </c>
      <c r="W90" s="5">
        <f>IF((DiscreteStatsTable[[#This Row],[RepsRequested]]&gt;1),DiscreteStatsTable[[#This Row],[HalfWidth]],DiscreteStatsTable[[#This Row],[BatchMeansHalfWidth]])</f>
        <v>0</v>
      </c>
      <c r="X90" s="5" cm="1">
        <f t="array" ref="X90">COUNT(IF((DiscreteStatsTable[GroupByKey]=DiscreteStatsTable[[#This Row],[GroupByKey]]),(DiscreteStatsTable[GroupByKey]=DiscreteStatsTable[[#This Row],[GroupByKey]])*DiscreteStatsTable[Replication]))</f>
        <v>15</v>
      </c>
      <c r="Y90" s="5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69</v>
      </c>
      <c r="C91">
        <v>15</v>
      </c>
      <c r="D91" t="s">
        <v>70</v>
      </c>
      <c r="E91" t="s">
        <v>77</v>
      </c>
      <c r="F91" t="s">
        <v>72</v>
      </c>
      <c r="G91">
        <v>9.9559391257838498E-2</v>
      </c>
      <c r="H91">
        <v>2E+20</v>
      </c>
      <c r="I91">
        <v>0</v>
      </c>
      <c r="J91">
        <v>3.4622521247683302</v>
      </c>
      <c r="K91">
        <v>86</v>
      </c>
      <c r="L91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91" s="5" cm="1">
        <f t="array" ref="M91">MAX(IF((ProjectInfoTable[ProjectName]=DiscreteStatsTable[[#This Row],[ProjectName]]),(ProjectInfoTable[ProjectName]=DiscreteStatsTable[[#This Row],[ProjectName]])*ProjectInfoTable[NumberOfReplications]))</f>
        <v>15</v>
      </c>
      <c r="N91" s="5" cm="1">
        <f t="array" ref="N91">IFERROR(AVERAGE(IF((DiscreteStatsTable[GroupByKey]=DiscreteStatsTable[[#This Row],[GroupByKey]]),(DiscreteStatsTable[GroupByKey]=DiscreteStatsTable[[#This Row],[GroupByKey]])*DiscreteStatsTable[Average])),0)</f>
        <v>0.17516590664795043</v>
      </c>
      <c r="O91" s="5" cm="1">
        <f t="array" ref="O91">IFERROR(_xlfn.STDEV.S(IF((DiscreteStatsTable[GroupByKey]=DiscreteStatsTable[[#This Row],[GroupByKey]]),(DiscreteStatsTable[GroupByKey]=DiscreteStatsTable[[#This Row],[GroupByKey]])*DiscreteStatsTable[Average])),0)</f>
        <v>0.11837060628036969</v>
      </c>
      <c r="P91" s="5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 s="5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6.5551456821911144E-2</v>
      </c>
      <c r="R91" s="5" cm="1">
        <f t="array" ref="R91">MIN(IF((DiscreteStatsTable[GroupByKey]=DiscreteStatsTable[[#This Row],[GroupByKey]]),(DiscreteStatsTable[GroupByKey]=DiscreteStatsTable[[#This Row],[GroupByKey]])*DiscreteStatsTable[Average]))</f>
        <v>1.02655423516477E-2</v>
      </c>
      <c r="S91" s="5" cm="1">
        <f t="array" ref="S91">MAX(IF((DiscreteStatsTable[GroupByKey]=DiscreteStatsTable[[#This Row],[GroupByKey]]),(DiscreteStatsTable[GroupByKey]=DiscreteStatsTable[[#This Row],[GroupByKey]])*DiscreteStatsTable[Average]))</f>
        <v>0.42879381521165499</v>
      </c>
      <c r="T91" s="5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s="5" cm="1">
        <f t="array" ref="U91">MAX(IF((DiscreteStatsTable[GroupByKey]=DiscreteStatsTable[[#This Row],[GroupByKey]]),(DiscreteStatsTable[GroupByKey]=DiscreteStatsTable[[#This Row],[GroupByKey]])*DiscreteStatsTable[Maximum]))</f>
        <v>7.1614883448111302</v>
      </c>
      <c r="V91" s="5" cm="1">
        <f t="array" ref="V91">IFERROR(AVERAGE(IF((DiscreteStatsTable[GroupByKey]=DiscreteStatsTable[[#This Row],[GroupByKey]]),(DiscreteStatsTable[GroupByKey]=DiscreteStatsTable[[#This Row],[GroupByKey]])*DiscreteStatsTable[NumberObservations])),0)</f>
        <v>95.2</v>
      </c>
      <c r="W91" s="5">
        <f>IF((DiscreteStatsTable[[#This Row],[RepsRequested]]&gt;1),DiscreteStatsTable[[#This Row],[HalfWidth]],DiscreteStatsTable[[#This Row],[BatchMeansHalfWidth]])</f>
        <v>6.5551456821911144E-2</v>
      </c>
      <c r="X91" s="5" cm="1">
        <f t="array" ref="X91">COUNT(IF((DiscreteStatsTable[GroupByKey]=DiscreteStatsTable[[#This Row],[GroupByKey]]),(DiscreteStatsTable[GroupByKey]=DiscreteStatsTable[[#This Row],[GroupByKey]])*DiscreteStatsTable[Replication]))</f>
        <v>15</v>
      </c>
      <c r="Y91" s="5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69</v>
      </c>
      <c r="C92">
        <v>1</v>
      </c>
      <c r="D92" t="s">
        <v>78</v>
      </c>
      <c r="E92" t="s">
        <v>79</v>
      </c>
      <c r="F92" t="s">
        <v>80</v>
      </c>
      <c r="G92">
        <v>0.18401039671380801</v>
      </c>
      <c r="H92">
        <v>2E+20</v>
      </c>
      <c r="I92">
        <v>0</v>
      </c>
      <c r="J92">
        <v>3.8121797026004698</v>
      </c>
      <c r="K92">
        <v>89</v>
      </c>
      <c r="L92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2" s="5" cm="1">
        <f t="array" ref="M92">MAX(IF((ProjectInfoTable[ProjectName]=DiscreteStatsTable[[#This Row],[ProjectName]]),(ProjectInfoTable[ProjectName]=DiscreteStatsTable[[#This Row],[ProjectName]])*ProjectInfoTable[NumberOfReplications]))</f>
        <v>15</v>
      </c>
      <c r="N92" s="5" cm="1">
        <f t="array" ref="N92">IFERROR(AVERAGE(IF((DiscreteStatsTable[GroupByKey]=DiscreteStatsTable[[#This Row],[GroupByKey]]),(DiscreteStatsTable[GroupByKey]=DiscreteStatsTable[[#This Row],[GroupByKey]])*DiscreteStatsTable[Average])),0)</f>
        <v>0.17398390854051871</v>
      </c>
      <c r="O92" s="5" cm="1">
        <f t="array" ref="O92">IFERROR(_xlfn.STDEV.S(IF((DiscreteStatsTable[GroupByKey]=DiscreteStatsTable[[#This Row],[GroupByKey]]),(DiscreteStatsTable[GroupByKey]=DiscreteStatsTable[[#This Row],[GroupByKey]])*DiscreteStatsTable[Average])),0)</f>
        <v>0.11869708134102724</v>
      </c>
      <c r="P92" s="5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 s="5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6.5732252684284578E-2</v>
      </c>
      <c r="R92" s="5" cm="1">
        <f t="array" ref="R92">MIN(IF((DiscreteStatsTable[GroupByKey]=DiscreteStatsTable[[#This Row],[GroupByKey]]),(DiscreteStatsTable[GroupByKey]=DiscreteStatsTable[[#This Row],[GroupByKey]])*DiscreteStatsTable[Average]))</f>
        <v>1.0140352810774E-2</v>
      </c>
      <c r="S92" s="5" cm="1">
        <f t="array" ref="S92">MAX(IF((DiscreteStatsTable[GroupByKey]=DiscreteStatsTable[[#This Row],[GroupByKey]]),(DiscreteStatsTable[GroupByKey]=DiscreteStatsTable[[#This Row],[GroupByKey]])*DiscreteStatsTable[Average]))</f>
        <v>0.42879381521165499</v>
      </c>
      <c r="T92" s="5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s="5" cm="1">
        <f t="array" ref="U92">MAX(IF((DiscreteStatsTable[GroupByKey]=DiscreteStatsTable[[#This Row],[GroupByKey]]),(DiscreteStatsTable[GroupByKey]=DiscreteStatsTable[[#This Row],[GroupByKey]])*DiscreteStatsTable[Maximum]))</f>
        <v>7.1614883448111302</v>
      </c>
      <c r="V92" s="5" cm="1">
        <f t="array" ref="V92">IFERROR(AVERAGE(IF((DiscreteStatsTable[GroupByKey]=DiscreteStatsTable[[#This Row],[GroupByKey]]),(DiscreteStatsTable[GroupByKey]=DiscreteStatsTable[[#This Row],[GroupByKey]])*DiscreteStatsTable[NumberObservations])),0)</f>
        <v>96.066666666666663</v>
      </c>
      <c r="W92" s="5">
        <f>IF((DiscreteStatsTable[[#This Row],[RepsRequested]]&gt;1),DiscreteStatsTable[[#This Row],[HalfWidth]],DiscreteStatsTable[[#This Row],[BatchMeansHalfWidth]])</f>
        <v>6.5732252684284578E-2</v>
      </c>
      <c r="X92" s="5" cm="1">
        <f t="array" ref="X92">COUNT(IF((DiscreteStatsTable[GroupByKey]=DiscreteStatsTable[[#This Row],[GroupByKey]]),(DiscreteStatsTable[GroupByKey]=DiscreteStatsTable[[#This Row],[GroupByKey]])*DiscreteStatsTable[Replication]))</f>
        <v>15</v>
      </c>
      <c r="Y92" s="5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69</v>
      </c>
      <c r="C93">
        <v>2</v>
      </c>
      <c r="D93" t="s">
        <v>78</v>
      </c>
      <c r="E93" t="s">
        <v>79</v>
      </c>
      <c r="F93" t="s">
        <v>80</v>
      </c>
      <c r="G93">
        <v>0.20486695831246099</v>
      </c>
      <c r="H93">
        <v>2E+20</v>
      </c>
      <c r="I93">
        <v>0</v>
      </c>
      <c r="J93">
        <v>4.6993026119143098</v>
      </c>
      <c r="K93">
        <v>104</v>
      </c>
      <c r="L93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3" s="5" cm="1">
        <f t="array" ref="M93">MAX(IF((ProjectInfoTable[ProjectName]=DiscreteStatsTable[[#This Row],[ProjectName]]),(ProjectInfoTable[ProjectName]=DiscreteStatsTable[[#This Row],[ProjectName]])*ProjectInfoTable[NumberOfReplications]))</f>
        <v>15</v>
      </c>
      <c r="N93" s="5" cm="1">
        <f t="array" ref="N93">IFERROR(AVERAGE(IF((DiscreteStatsTable[GroupByKey]=DiscreteStatsTable[[#This Row],[GroupByKey]]),(DiscreteStatsTable[GroupByKey]=DiscreteStatsTable[[#This Row],[GroupByKey]])*DiscreteStatsTable[Average])),0)</f>
        <v>0.17398390854051871</v>
      </c>
      <c r="O93" s="5" cm="1">
        <f t="array" ref="O93">IFERROR(_xlfn.STDEV.S(IF((DiscreteStatsTable[GroupByKey]=DiscreteStatsTable[[#This Row],[GroupByKey]]),(DiscreteStatsTable[GroupByKey]=DiscreteStatsTable[[#This Row],[GroupByKey]])*DiscreteStatsTable[Average])),0)</f>
        <v>0.11869708134102724</v>
      </c>
      <c r="P93" s="5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 s="5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6.5732252684284578E-2</v>
      </c>
      <c r="R93" s="5" cm="1">
        <f t="array" ref="R93">MIN(IF((DiscreteStatsTable[GroupByKey]=DiscreteStatsTable[[#This Row],[GroupByKey]]),(DiscreteStatsTable[GroupByKey]=DiscreteStatsTable[[#This Row],[GroupByKey]])*DiscreteStatsTable[Average]))</f>
        <v>1.0140352810774E-2</v>
      </c>
      <c r="S93" s="5" cm="1">
        <f t="array" ref="S93">MAX(IF((DiscreteStatsTable[GroupByKey]=DiscreteStatsTable[[#This Row],[GroupByKey]]),(DiscreteStatsTable[GroupByKey]=DiscreteStatsTable[[#This Row],[GroupByKey]])*DiscreteStatsTable[Average]))</f>
        <v>0.42879381521165499</v>
      </c>
      <c r="T93" s="5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s="5" cm="1">
        <f t="array" ref="U93">MAX(IF((DiscreteStatsTable[GroupByKey]=DiscreteStatsTable[[#This Row],[GroupByKey]]),(DiscreteStatsTable[GroupByKey]=DiscreteStatsTable[[#This Row],[GroupByKey]])*DiscreteStatsTable[Maximum]))</f>
        <v>7.1614883448111302</v>
      </c>
      <c r="V93" s="5" cm="1">
        <f t="array" ref="V93">IFERROR(AVERAGE(IF((DiscreteStatsTable[GroupByKey]=DiscreteStatsTable[[#This Row],[GroupByKey]]),(DiscreteStatsTable[GroupByKey]=DiscreteStatsTable[[#This Row],[GroupByKey]])*DiscreteStatsTable[NumberObservations])),0)</f>
        <v>96.066666666666663</v>
      </c>
      <c r="W93" s="5">
        <f>IF((DiscreteStatsTable[[#This Row],[RepsRequested]]&gt;1),DiscreteStatsTable[[#This Row],[HalfWidth]],DiscreteStatsTable[[#This Row],[BatchMeansHalfWidth]])</f>
        <v>6.5732252684284578E-2</v>
      </c>
      <c r="X93" s="5" cm="1">
        <f t="array" ref="X93">COUNT(IF((DiscreteStatsTable[GroupByKey]=DiscreteStatsTable[[#This Row],[GroupByKey]]),(DiscreteStatsTable[GroupByKey]=DiscreteStatsTable[[#This Row],[GroupByKey]])*DiscreteStatsTable[Replication]))</f>
        <v>15</v>
      </c>
      <c r="Y93" s="5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69</v>
      </c>
      <c r="C94">
        <v>3</v>
      </c>
      <c r="D94" t="s">
        <v>78</v>
      </c>
      <c r="E94" t="s">
        <v>79</v>
      </c>
      <c r="F94" t="s">
        <v>80</v>
      </c>
      <c r="G94">
        <v>0.41991339610698802</v>
      </c>
      <c r="H94">
        <v>2E+20</v>
      </c>
      <c r="I94">
        <v>0</v>
      </c>
      <c r="J94">
        <v>7.1614883448111302</v>
      </c>
      <c r="K94">
        <v>116</v>
      </c>
      <c r="L94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4" s="5" cm="1">
        <f t="array" ref="M94">MAX(IF((ProjectInfoTable[ProjectName]=DiscreteStatsTable[[#This Row],[ProjectName]]),(ProjectInfoTable[ProjectName]=DiscreteStatsTable[[#This Row],[ProjectName]])*ProjectInfoTable[NumberOfReplications]))</f>
        <v>15</v>
      </c>
      <c r="N94" s="5" cm="1">
        <f t="array" ref="N94">IFERROR(AVERAGE(IF((DiscreteStatsTable[GroupByKey]=DiscreteStatsTable[[#This Row],[GroupByKey]]),(DiscreteStatsTable[GroupByKey]=DiscreteStatsTable[[#This Row],[GroupByKey]])*DiscreteStatsTable[Average])),0)</f>
        <v>0.17398390854051871</v>
      </c>
      <c r="O94" s="5" cm="1">
        <f t="array" ref="O94">IFERROR(_xlfn.STDEV.S(IF((DiscreteStatsTable[GroupByKey]=DiscreteStatsTable[[#This Row],[GroupByKey]]),(DiscreteStatsTable[GroupByKey]=DiscreteStatsTable[[#This Row],[GroupByKey]])*DiscreteStatsTable[Average])),0)</f>
        <v>0.11869708134102724</v>
      </c>
      <c r="P94" s="5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 s="5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6.5732252684284578E-2</v>
      </c>
      <c r="R94" s="5" cm="1">
        <f t="array" ref="R94">MIN(IF((DiscreteStatsTable[GroupByKey]=DiscreteStatsTable[[#This Row],[GroupByKey]]),(DiscreteStatsTable[GroupByKey]=DiscreteStatsTable[[#This Row],[GroupByKey]])*DiscreteStatsTable[Average]))</f>
        <v>1.0140352810774E-2</v>
      </c>
      <c r="S94" s="5" cm="1">
        <f t="array" ref="S94">MAX(IF((DiscreteStatsTable[GroupByKey]=DiscreteStatsTable[[#This Row],[GroupByKey]]),(DiscreteStatsTable[GroupByKey]=DiscreteStatsTable[[#This Row],[GroupByKey]])*DiscreteStatsTable[Average]))</f>
        <v>0.42879381521165499</v>
      </c>
      <c r="T94" s="5" cm="1">
        <f t="array" ref="T94">MIN(IF((DiscreteStatsTable[GroupByKey]=DiscreteStatsTable[[#This Row],[GroupByKey]]),(DiscreteStatsTable[GroupByKey]=DiscreteStatsTable[[#This Row],[GroupByKey]])*DiscreteStatsTable[Minimum]))</f>
        <v>0</v>
      </c>
      <c r="U94" s="5" cm="1">
        <f t="array" ref="U94">MAX(IF((DiscreteStatsTable[GroupByKey]=DiscreteStatsTable[[#This Row],[GroupByKey]]),(DiscreteStatsTable[GroupByKey]=DiscreteStatsTable[[#This Row],[GroupByKey]])*DiscreteStatsTable[Maximum]))</f>
        <v>7.1614883448111302</v>
      </c>
      <c r="V94" s="5" cm="1">
        <f t="array" ref="V94">IFERROR(AVERAGE(IF((DiscreteStatsTable[GroupByKey]=DiscreteStatsTable[[#This Row],[GroupByKey]]),(DiscreteStatsTable[GroupByKey]=DiscreteStatsTable[[#This Row],[GroupByKey]])*DiscreteStatsTable[NumberObservations])),0)</f>
        <v>96.066666666666663</v>
      </c>
      <c r="W94" s="5">
        <f>IF((DiscreteStatsTable[[#This Row],[RepsRequested]]&gt;1),DiscreteStatsTable[[#This Row],[HalfWidth]],DiscreteStatsTable[[#This Row],[BatchMeansHalfWidth]])</f>
        <v>6.5732252684284578E-2</v>
      </c>
      <c r="X94" s="5" cm="1">
        <f t="array" ref="X94">COUNT(IF((DiscreteStatsTable[GroupByKey]=DiscreteStatsTable[[#This Row],[GroupByKey]]),(DiscreteStatsTable[GroupByKey]=DiscreteStatsTable[[#This Row],[GroupByKey]])*DiscreteStatsTable[Replication]))</f>
        <v>15</v>
      </c>
      <c r="Y94" s="5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69</v>
      </c>
      <c r="C95">
        <v>4</v>
      </c>
      <c r="D95" t="s">
        <v>78</v>
      </c>
      <c r="E95" t="s">
        <v>79</v>
      </c>
      <c r="F95" t="s">
        <v>80</v>
      </c>
      <c r="G95">
        <v>0.14789459743976599</v>
      </c>
      <c r="H95">
        <v>2E+20</v>
      </c>
      <c r="I95">
        <v>0</v>
      </c>
      <c r="J95">
        <v>3.3505131756219599</v>
      </c>
      <c r="K95">
        <v>100</v>
      </c>
      <c r="L95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5" s="5" cm="1">
        <f t="array" ref="M95">MAX(IF((ProjectInfoTable[ProjectName]=DiscreteStatsTable[[#This Row],[ProjectName]]),(ProjectInfoTable[ProjectName]=DiscreteStatsTable[[#This Row],[ProjectName]])*ProjectInfoTable[NumberOfReplications]))</f>
        <v>15</v>
      </c>
      <c r="N95" s="5" cm="1">
        <f t="array" ref="N95">IFERROR(AVERAGE(IF((DiscreteStatsTable[GroupByKey]=DiscreteStatsTable[[#This Row],[GroupByKey]]),(DiscreteStatsTable[GroupByKey]=DiscreteStatsTable[[#This Row],[GroupByKey]])*DiscreteStatsTable[Average])),0)</f>
        <v>0.17398390854051871</v>
      </c>
      <c r="O95" s="5" cm="1">
        <f t="array" ref="O95">IFERROR(_xlfn.STDEV.S(IF((DiscreteStatsTable[GroupByKey]=DiscreteStatsTable[[#This Row],[GroupByKey]]),(DiscreteStatsTable[GroupByKey]=DiscreteStatsTable[[#This Row],[GroupByKey]])*DiscreteStatsTable[Average])),0)</f>
        <v>0.11869708134102724</v>
      </c>
      <c r="P95" s="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 s="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6.5732252684284578E-2</v>
      </c>
      <c r="R95" s="5" cm="1">
        <f t="array" ref="R95">MIN(IF((DiscreteStatsTable[GroupByKey]=DiscreteStatsTable[[#This Row],[GroupByKey]]),(DiscreteStatsTable[GroupByKey]=DiscreteStatsTable[[#This Row],[GroupByKey]])*DiscreteStatsTable[Average]))</f>
        <v>1.0140352810774E-2</v>
      </c>
      <c r="S95" s="5" cm="1">
        <f t="array" ref="S95">MAX(IF((DiscreteStatsTable[GroupByKey]=DiscreteStatsTable[[#This Row],[GroupByKey]]),(DiscreteStatsTable[GroupByKey]=DiscreteStatsTable[[#This Row],[GroupByKey]])*DiscreteStatsTable[Average]))</f>
        <v>0.42879381521165499</v>
      </c>
      <c r="T95" s="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s="5" cm="1">
        <f t="array" ref="U95">MAX(IF((DiscreteStatsTable[GroupByKey]=DiscreteStatsTable[[#This Row],[GroupByKey]]),(DiscreteStatsTable[GroupByKey]=DiscreteStatsTable[[#This Row],[GroupByKey]])*DiscreteStatsTable[Maximum]))</f>
        <v>7.1614883448111302</v>
      </c>
      <c r="V95" s="5" cm="1">
        <f t="array" ref="V95">IFERROR(AVERAGE(IF((DiscreteStatsTable[GroupByKey]=DiscreteStatsTable[[#This Row],[GroupByKey]]),(DiscreteStatsTable[GroupByKey]=DiscreteStatsTable[[#This Row],[GroupByKey]])*DiscreteStatsTable[NumberObservations])),0)</f>
        <v>96.066666666666663</v>
      </c>
      <c r="W95" s="5">
        <f>IF((DiscreteStatsTable[[#This Row],[RepsRequested]]&gt;1),DiscreteStatsTable[[#This Row],[HalfWidth]],DiscreteStatsTable[[#This Row],[BatchMeansHalfWidth]])</f>
        <v>6.5732252684284578E-2</v>
      </c>
      <c r="X95" s="5" cm="1">
        <f t="array" ref="X95">COUNT(IF((DiscreteStatsTable[GroupByKey]=DiscreteStatsTable[[#This Row],[GroupByKey]]),(DiscreteStatsTable[GroupByKey]=DiscreteStatsTable[[#This Row],[GroupByKey]])*DiscreteStatsTable[Replication]))</f>
        <v>15</v>
      </c>
      <c r="Y95" s="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69</v>
      </c>
      <c r="C96">
        <v>5</v>
      </c>
      <c r="D96" t="s">
        <v>78</v>
      </c>
      <c r="E96" t="s">
        <v>79</v>
      </c>
      <c r="F96" t="s">
        <v>80</v>
      </c>
      <c r="G96">
        <v>0.16140755744719401</v>
      </c>
      <c r="H96">
        <v>2E+20</v>
      </c>
      <c r="I96">
        <v>0</v>
      </c>
      <c r="J96">
        <v>4.1168613064264701</v>
      </c>
      <c r="K96">
        <v>105</v>
      </c>
      <c r="L96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6" s="5" cm="1">
        <f t="array" ref="M96">MAX(IF((ProjectInfoTable[ProjectName]=DiscreteStatsTable[[#This Row],[ProjectName]]),(ProjectInfoTable[ProjectName]=DiscreteStatsTable[[#This Row],[ProjectName]])*ProjectInfoTable[NumberOfReplications]))</f>
        <v>15</v>
      </c>
      <c r="N96" s="5" cm="1">
        <f t="array" ref="N96">IFERROR(AVERAGE(IF((DiscreteStatsTable[GroupByKey]=DiscreteStatsTable[[#This Row],[GroupByKey]]),(DiscreteStatsTable[GroupByKey]=DiscreteStatsTable[[#This Row],[GroupByKey]])*DiscreteStatsTable[Average])),0)</f>
        <v>0.17398390854051871</v>
      </c>
      <c r="O96" s="5" cm="1">
        <f t="array" ref="O96">IFERROR(_xlfn.STDEV.S(IF((DiscreteStatsTable[GroupByKey]=DiscreteStatsTable[[#This Row],[GroupByKey]]),(DiscreteStatsTable[GroupByKey]=DiscreteStatsTable[[#This Row],[GroupByKey]])*DiscreteStatsTable[Average])),0)</f>
        <v>0.11869708134102724</v>
      </c>
      <c r="P96" s="5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 s="5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6.5732252684284578E-2</v>
      </c>
      <c r="R96" s="5" cm="1">
        <f t="array" ref="R96">MIN(IF((DiscreteStatsTable[GroupByKey]=DiscreteStatsTable[[#This Row],[GroupByKey]]),(DiscreteStatsTable[GroupByKey]=DiscreteStatsTable[[#This Row],[GroupByKey]])*DiscreteStatsTable[Average]))</f>
        <v>1.0140352810774E-2</v>
      </c>
      <c r="S96" s="5" cm="1">
        <f t="array" ref="S96">MAX(IF((DiscreteStatsTable[GroupByKey]=DiscreteStatsTable[[#This Row],[GroupByKey]]),(DiscreteStatsTable[GroupByKey]=DiscreteStatsTable[[#This Row],[GroupByKey]])*DiscreteStatsTable[Average]))</f>
        <v>0.42879381521165499</v>
      </c>
      <c r="T96" s="5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s="5" cm="1">
        <f t="array" ref="U96">MAX(IF((DiscreteStatsTable[GroupByKey]=DiscreteStatsTable[[#This Row],[GroupByKey]]),(DiscreteStatsTable[GroupByKey]=DiscreteStatsTable[[#This Row],[GroupByKey]])*DiscreteStatsTable[Maximum]))</f>
        <v>7.1614883448111302</v>
      </c>
      <c r="V96" s="5" cm="1">
        <f t="array" ref="V96">IFERROR(AVERAGE(IF((DiscreteStatsTable[GroupByKey]=DiscreteStatsTable[[#This Row],[GroupByKey]]),(DiscreteStatsTable[GroupByKey]=DiscreteStatsTable[[#This Row],[GroupByKey]])*DiscreteStatsTable[NumberObservations])),0)</f>
        <v>96.066666666666663</v>
      </c>
      <c r="W96" s="5">
        <f>IF((DiscreteStatsTable[[#This Row],[RepsRequested]]&gt;1),DiscreteStatsTable[[#This Row],[HalfWidth]],DiscreteStatsTable[[#This Row],[BatchMeansHalfWidth]])</f>
        <v>6.5732252684284578E-2</v>
      </c>
      <c r="X96" s="5" cm="1">
        <f t="array" ref="X96">COUNT(IF((DiscreteStatsTable[GroupByKey]=DiscreteStatsTable[[#This Row],[GroupByKey]]),(DiscreteStatsTable[GroupByKey]=DiscreteStatsTable[[#This Row],[GroupByKey]])*DiscreteStatsTable[Replication]))</f>
        <v>15</v>
      </c>
      <c r="Y96" s="5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69</v>
      </c>
      <c r="C97">
        <v>6</v>
      </c>
      <c r="D97" t="s">
        <v>78</v>
      </c>
      <c r="E97" t="s">
        <v>79</v>
      </c>
      <c r="F97" t="s">
        <v>80</v>
      </c>
      <c r="G97">
        <v>0.42879381521165499</v>
      </c>
      <c r="H97">
        <v>2E+20</v>
      </c>
      <c r="I97">
        <v>0</v>
      </c>
      <c r="J97">
        <v>6.6688824954600499</v>
      </c>
      <c r="K97">
        <v>98</v>
      </c>
      <c r="L97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7" s="5" cm="1">
        <f t="array" ref="M97">MAX(IF((ProjectInfoTable[ProjectName]=DiscreteStatsTable[[#This Row],[ProjectName]]),(ProjectInfoTable[ProjectName]=DiscreteStatsTable[[#This Row],[ProjectName]])*ProjectInfoTable[NumberOfReplications]))</f>
        <v>15</v>
      </c>
      <c r="N97" s="5" cm="1">
        <f t="array" ref="N97">IFERROR(AVERAGE(IF((DiscreteStatsTable[GroupByKey]=DiscreteStatsTable[[#This Row],[GroupByKey]]),(DiscreteStatsTable[GroupByKey]=DiscreteStatsTable[[#This Row],[GroupByKey]])*DiscreteStatsTable[Average])),0)</f>
        <v>0.17398390854051871</v>
      </c>
      <c r="O97" s="5" cm="1">
        <f t="array" ref="O97">IFERROR(_xlfn.STDEV.S(IF((DiscreteStatsTable[GroupByKey]=DiscreteStatsTable[[#This Row],[GroupByKey]]),(DiscreteStatsTable[GroupByKey]=DiscreteStatsTable[[#This Row],[GroupByKey]])*DiscreteStatsTable[Average])),0)</f>
        <v>0.11869708134102724</v>
      </c>
      <c r="P97" s="5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 s="5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6.5732252684284578E-2</v>
      </c>
      <c r="R97" s="5" cm="1">
        <f t="array" ref="R97">MIN(IF((DiscreteStatsTable[GroupByKey]=DiscreteStatsTable[[#This Row],[GroupByKey]]),(DiscreteStatsTable[GroupByKey]=DiscreteStatsTable[[#This Row],[GroupByKey]])*DiscreteStatsTable[Average]))</f>
        <v>1.0140352810774E-2</v>
      </c>
      <c r="S97" s="5" cm="1">
        <f t="array" ref="S97">MAX(IF((DiscreteStatsTable[GroupByKey]=DiscreteStatsTable[[#This Row],[GroupByKey]]),(DiscreteStatsTable[GroupByKey]=DiscreteStatsTable[[#This Row],[GroupByKey]])*DiscreteStatsTable[Average]))</f>
        <v>0.42879381521165499</v>
      </c>
      <c r="T97" s="5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s="5" cm="1">
        <f t="array" ref="U97">MAX(IF((DiscreteStatsTable[GroupByKey]=DiscreteStatsTable[[#This Row],[GroupByKey]]),(DiscreteStatsTable[GroupByKey]=DiscreteStatsTable[[#This Row],[GroupByKey]])*DiscreteStatsTable[Maximum]))</f>
        <v>7.1614883448111302</v>
      </c>
      <c r="V97" s="5" cm="1">
        <f t="array" ref="V97">IFERROR(AVERAGE(IF((DiscreteStatsTable[GroupByKey]=DiscreteStatsTable[[#This Row],[GroupByKey]]),(DiscreteStatsTable[GroupByKey]=DiscreteStatsTable[[#This Row],[GroupByKey]])*DiscreteStatsTable[NumberObservations])),0)</f>
        <v>96.066666666666663</v>
      </c>
      <c r="W97" s="5">
        <f>IF((DiscreteStatsTable[[#This Row],[RepsRequested]]&gt;1),DiscreteStatsTable[[#This Row],[HalfWidth]],DiscreteStatsTable[[#This Row],[BatchMeansHalfWidth]])</f>
        <v>6.5732252684284578E-2</v>
      </c>
      <c r="X97" s="5" cm="1">
        <f t="array" ref="X97">COUNT(IF((DiscreteStatsTable[GroupByKey]=DiscreteStatsTable[[#This Row],[GroupByKey]]),(DiscreteStatsTable[GroupByKey]=DiscreteStatsTable[[#This Row],[GroupByKey]])*DiscreteStatsTable[Replication]))</f>
        <v>15</v>
      </c>
      <c r="Y97" s="5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69</v>
      </c>
      <c r="C98">
        <v>7</v>
      </c>
      <c r="D98" t="s">
        <v>78</v>
      </c>
      <c r="E98" t="s">
        <v>79</v>
      </c>
      <c r="F98" t="s">
        <v>80</v>
      </c>
      <c r="G98">
        <v>2.3599774440667302E-2</v>
      </c>
      <c r="H98">
        <v>2E+20</v>
      </c>
      <c r="I98">
        <v>0</v>
      </c>
      <c r="J98">
        <v>1.81870565101076</v>
      </c>
      <c r="K98">
        <v>97</v>
      </c>
      <c r="L98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8" s="5" cm="1">
        <f t="array" ref="M98">MAX(IF((ProjectInfoTable[ProjectName]=DiscreteStatsTable[[#This Row],[ProjectName]]),(ProjectInfoTable[ProjectName]=DiscreteStatsTable[[#This Row],[ProjectName]])*ProjectInfoTable[NumberOfReplications]))</f>
        <v>15</v>
      </c>
      <c r="N98" s="5" cm="1">
        <f t="array" ref="N98">IFERROR(AVERAGE(IF((DiscreteStatsTable[GroupByKey]=DiscreteStatsTable[[#This Row],[GroupByKey]]),(DiscreteStatsTable[GroupByKey]=DiscreteStatsTable[[#This Row],[GroupByKey]])*DiscreteStatsTable[Average])),0)</f>
        <v>0.17398390854051871</v>
      </c>
      <c r="O98" s="5" cm="1">
        <f t="array" ref="O98">IFERROR(_xlfn.STDEV.S(IF((DiscreteStatsTable[GroupByKey]=DiscreteStatsTable[[#This Row],[GroupByKey]]),(DiscreteStatsTable[GroupByKey]=DiscreteStatsTable[[#This Row],[GroupByKey]])*DiscreteStatsTable[Average])),0)</f>
        <v>0.11869708134102724</v>
      </c>
      <c r="P98" s="5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 s="5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6.5732252684284578E-2</v>
      </c>
      <c r="R98" s="5" cm="1">
        <f t="array" ref="R98">MIN(IF((DiscreteStatsTable[GroupByKey]=DiscreteStatsTable[[#This Row],[GroupByKey]]),(DiscreteStatsTable[GroupByKey]=DiscreteStatsTable[[#This Row],[GroupByKey]])*DiscreteStatsTable[Average]))</f>
        <v>1.0140352810774E-2</v>
      </c>
      <c r="S98" s="5" cm="1">
        <f t="array" ref="S98">MAX(IF((DiscreteStatsTable[GroupByKey]=DiscreteStatsTable[[#This Row],[GroupByKey]]),(DiscreteStatsTable[GroupByKey]=DiscreteStatsTable[[#This Row],[GroupByKey]])*DiscreteStatsTable[Average]))</f>
        <v>0.42879381521165499</v>
      </c>
      <c r="T98" s="5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s="5" cm="1">
        <f t="array" ref="U98">MAX(IF((DiscreteStatsTable[GroupByKey]=DiscreteStatsTable[[#This Row],[GroupByKey]]),(DiscreteStatsTable[GroupByKey]=DiscreteStatsTable[[#This Row],[GroupByKey]])*DiscreteStatsTable[Maximum]))</f>
        <v>7.1614883448111302</v>
      </c>
      <c r="V98" s="5" cm="1">
        <f t="array" ref="V98">IFERROR(AVERAGE(IF((DiscreteStatsTable[GroupByKey]=DiscreteStatsTable[[#This Row],[GroupByKey]]),(DiscreteStatsTable[GroupByKey]=DiscreteStatsTable[[#This Row],[GroupByKey]])*DiscreteStatsTable[NumberObservations])),0)</f>
        <v>96.066666666666663</v>
      </c>
      <c r="W98" s="5">
        <f>IF((DiscreteStatsTable[[#This Row],[RepsRequested]]&gt;1),DiscreteStatsTable[[#This Row],[HalfWidth]],DiscreteStatsTable[[#This Row],[BatchMeansHalfWidth]])</f>
        <v>6.5732252684284578E-2</v>
      </c>
      <c r="X98" s="5" cm="1">
        <f t="array" ref="X98">COUNT(IF((DiscreteStatsTable[GroupByKey]=DiscreteStatsTable[[#This Row],[GroupByKey]]),(DiscreteStatsTable[GroupByKey]=DiscreteStatsTable[[#This Row],[GroupByKey]])*DiscreteStatsTable[Replication]))</f>
        <v>15</v>
      </c>
      <c r="Y98" s="5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69</v>
      </c>
      <c r="C99">
        <v>8</v>
      </c>
      <c r="D99" t="s">
        <v>78</v>
      </c>
      <c r="E99" t="s">
        <v>79</v>
      </c>
      <c r="F99" t="s">
        <v>80</v>
      </c>
      <c r="G99">
        <v>1.0140352810774E-2</v>
      </c>
      <c r="H99">
        <v>2E+20</v>
      </c>
      <c r="I99">
        <v>0</v>
      </c>
      <c r="J99">
        <v>0.83150893048346597</v>
      </c>
      <c r="K99">
        <v>82</v>
      </c>
      <c r="L99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9" s="5" cm="1">
        <f t="array" ref="M99">MAX(IF((ProjectInfoTable[ProjectName]=DiscreteStatsTable[[#This Row],[ProjectName]]),(ProjectInfoTable[ProjectName]=DiscreteStatsTable[[#This Row],[ProjectName]])*ProjectInfoTable[NumberOfReplications]))</f>
        <v>15</v>
      </c>
      <c r="N99" s="5" cm="1">
        <f t="array" ref="N99">IFERROR(AVERAGE(IF((DiscreteStatsTable[GroupByKey]=DiscreteStatsTable[[#This Row],[GroupByKey]]),(DiscreteStatsTable[GroupByKey]=DiscreteStatsTable[[#This Row],[GroupByKey]])*DiscreteStatsTable[Average])),0)</f>
        <v>0.17398390854051871</v>
      </c>
      <c r="O99" s="5" cm="1">
        <f t="array" ref="O99">IFERROR(_xlfn.STDEV.S(IF((DiscreteStatsTable[GroupByKey]=DiscreteStatsTable[[#This Row],[GroupByKey]]),(DiscreteStatsTable[GroupByKey]=DiscreteStatsTable[[#This Row],[GroupByKey]])*DiscreteStatsTable[Average])),0)</f>
        <v>0.11869708134102724</v>
      </c>
      <c r="P99" s="5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 s="5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6.5732252684284578E-2</v>
      </c>
      <c r="R99" s="5" cm="1">
        <f t="array" ref="R99">MIN(IF((DiscreteStatsTable[GroupByKey]=DiscreteStatsTable[[#This Row],[GroupByKey]]),(DiscreteStatsTable[GroupByKey]=DiscreteStatsTable[[#This Row],[GroupByKey]])*DiscreteStatsTable[Average]))</f>
        <v>1.0140352810774E-2</v>
      </c>
      <c r="S99" s="5" cm="1">
        <f t="array" ref="S99">MAX(IF((DiscreteStatsTable[GroupByKey]=DiscreteStatsTable[[#This Row],[GroupByKey]]),(DiscreteStatsTable[GroupByKey]=DiscreteStatsTable[[#This Row],[GroupByKey]])*DiscreteStatsTable[Average]))</f>
        <v>0.42879381521165499</v>
      </c>
      <c r="T99" s="5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s="5" cm="1">
        <f t="array" ref="U99">MAX(IF((DiscreteStatsTable[GroupByKey]=DiscreteStatsTable[[#This Row],[GroupByKey]]),(DiscreteStatsTable[GroupByKey]=DiscreteStatsTable[[#This Row],[GroupByKey]])*DiscreteStatsTable[Maximum]))</f>
        <v>7.1614883448111302</v>
      </c>
      <c r="V99" s="5" cm="1">
        <f t="array" ref="V99">IFERROR(AVERAGE(IF((DiscreteStatsTable[GroupByKey]=DiscreteStatsTable[[#This Row],[GroupByKey]]),(DiscreteStatsTable[GroupByKey]=DiscreteStatsTable[[#This Row],[GroupByKey]])*DiscreteStatsTable[NumberObservations])),0)</f>
        <v>96.066666666666663</v>
      </c>
      <c r="W99" s="5">
        <f>IF((DiscreteStatsTable[[#This Row],[RepsRequested]]&gt;1),DiscreteStatsTable[[#This Row],[HalfWidth]],DiscreteStatsTable[[#This Row],[BatchMeansHalfWidth]])</f>
        <v>6.5732252684284578E-2</v>
      </c>
      <c r="X99" s="5" cm="1">
        <f t="array" ref="X99">COUNT(IF((DiscreteStatsTable[GroupByKey]=DiscreteStatsTable[[#This Row],[GroupByKey]]),(DiscreteStatsTable[GroupByKey]=DiscreteStatsTable[[#This Row],[GroupByKey]])*DiscreteStatsTable[Replication]))</f>
        <v>15</v>
      </c>
      <c r="Y99" s="5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69</v>
      </c>
      <c r="C100">
        <v>9</v>
      </c>
      <c r="D100" t="s">
        <v>78</v>
      </c>
      <c r="E100" t="s">
        <v>79</v>
      </c>
      <c r="F100" t="s">
        <v>80</v>
      </c>
      <c r="G100">
        <v>8.1048432541920304E-2</v>
      </c>
      <c r="H100">
        <v>2E+20</v>
      </c>
      <c r="I100">
        <v>0</v>
      </c>
      <c r="J100">
        <v>3.0487620939600202</v>
      </c>
      <c r="K100">
        <v>96</v>
      </c>
      <c r="L100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100" s="5" cm="1">
        <f t="array" ref="M100">MAX(IF((ProjectInfoTable[ProjectName]=DiscreteStatsTable[[#This Row],[ProjectName]]),(ProjectInfoTable[ProjectName]=DiscreteStatsTable[[#This Row],[ProjectName]])*ProjectInfoTable[NumberOfReplications]))</f>
        <v>15</v>
      </c>
      <c r="N100" s="5" cm="1">
        <f t="array" ref="N100">IFERROR(AVERAGE(IF((DiscreteStatsTable[GroupByKey]=DiscreteStatsTable[[#This Row],[GroupByKey]]),(DiscreteStatsTable[GroupByKey]=DiscreteStatsTable[[#This Row],[GroupByKey]])*DiscreteStatsTable[Average])),0)</f>
        <v>0.17398390854051871</v>
      </c>
      <c r="O100" s="5" cm="1">
        <f t="array" ref="O100">IFERROR(_xlfn.STDEV.S(IF((DiscreteStatsTable[GroupByKey]=DiscreteStatsTable[[#This Row],[GroupByKey]]),(DiscreteStatsTable[GroupByKey]=DiscreteStatsTable[[#This Row],[GroupByKey]])*DiscreteStatsTable[Average])),0)</f>
        <v>0.11869708134102724</v>
      </c>
      <c r="P100" s="5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 s="5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6.5732252684284578E-2</v>
      </c>
      <c r="R100" s="5" cm="1">
        <f t="array" ref="R100">MIN(IF((DiscreteStatsTable[GroupByKey]=DiscreteStatsTable[[#This Row],[GroupByKey]]),(DiscreteStatsTable[GroupByKey]=DiscreteStatsTable[[#This Row],[GroupByKey]])*DiscreteStatsTable[Average]))</f>
        <v>1.0140352810774E-2</v>
      </c>
      <c r="S100" s="5" cm="1">
        <f t="array" ref="S100">MAX(IF((DiscreteStatsTable[GroupByKey]=DiscreteStatsTable[[#This Row],[GroupByKey]]),(DiscreteStatsTable[GroupByKey]=DiscreteStatsTable[[#This Row],[GroupByKey]])*DiscreteStatsTable[Average]))</f>
        <v>0.42879381521165499</v>
      </c>
      <c r="T100" s="5" cm="1">
        <f t="array" ref="T100">MIN(IF((DiscreteStatsTable[GroupByKey]=DiscreteStatsTable[[#This Row],[GroupByKey]]),(DiscreteStatsTable[GroupByKey]=DiscreteStatsTable[[#This Row],[GroupByKey]])*DiscreteStatsTable[Minimum]))</f>
        <v>0</v>
      </c>
      <c r="U100" s="5" cm="1">
        <f t="array" ref="U100">MAX(IF((DiscreteStatsTable[GroupByKey]=DiscreteStatsTable[[#This Row],[GroupByKey]]),(DiscreteStatsTable[GroupByKey]=DiscreteStatsTable[[#This Row],[GroupByKey]])*DiscreteStatsTable[Maximum]))</f>
        <v>7.1614883448111302</v>
      </c>
      <c r="V100" s="5" cm="1">
        <f t="array" ref="V100">IFERROR(AVERAGE(IF((DiscreteStatsTable[GroupByKey]=DiscreteStatsTable[[#This Row],[GroupByKey]]),(DiscreteStatsTable[GroupByKey]=DiscreteStatsTable[[#This Row],[GroupByKey]])*DiscreteStatsTable[NumberObservations])),0)</f>
        <v>96.066666666666663</v>
      </c>
      <c r="W100" s="5">
        <f>IF((DiscreteStatsTable[[#This Row],[RepsRequested]]&gt;1),DiscreteStatsTable[[#This Row],[HalfWidth]],DiscreteStatsTable[[#This Row],[BatchMeansHalfWidth]])</f>
        <v>6.5732252684284578E-2</v>
      </c>
      <c r="X100" s="5" cm="1">
        <f t="array" ref="X100">COUNT(IF((DiscreteStatsTable[GroupByKey]=DiscreteStatsTable[[#This Row],[GroupByKey]]),(DiscreteStatsTable[GroupByKey]=DiscreteStatsTable[[#This Row],[GroupByKey]])*DiscreteStatsTable[Replication]))</f>
        <v>15</v>
      </c>
      <c r="Y100" s="5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69</v>
      </c>
      <c r="C101">
        <v>10</v>
      </c>
      <c r="D101" t="s">
        <v>78</v>
      </c>
      <c r="E101" t="s">
        <v>79</v>
      </c>
      <c r="F101" t="s">
        <v>80</v>
      </c>
      <c r="G101">
        <v>0.12398991480851</v>
      </c>
      <c r="H101">
        <v>2E+20</v>
      </c>
      <c r="I101">
        <v>0</v>
      </c>
      <c r="J101">
        <v>3.1238390572310899</v>
      </c>
      <c r="K101">
        <v>86</v>
      </c>
      <c r="L101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101" s="5" cm="1">
        <f t="array" ref="M101">MAX(IF((ProjectInfoTable[ProjectName]=DiscreteStatsTable[[#This Row],[ProjectName]]),(ProjectInfoTable[ProjectName]=DiscreteStatsTable[[#This Row],[ProjectName]])*ProjectInfoTable[NumberOfReplications]))</f>
        <v>15</v>
      </c>
      <c r="N101" s="5" cm="1">
        <f t="array" ref="N101">IFERROR(AVERAGE(IF((DiscreteStatsTable[GroupByKey]=DiscreteStatsTable[[#This Row],[GroupByKey]]),(DiscreteStatsTable[GroupByKey]=DiscreteStatsTable[[#This Row],[GroupByKey]])*DiscreteStatsTable[Average])),0)</f>
        <v>0.17398390854051871</v>
      </c>
      <c r="O101" s="5" cm="1">
        <f t="array" ref="O101">IFERROR(_xlfn.STDEV.S(IF((DiscreteStatsTable[GroupByKey]=DiscreteStatsTable[[#This Row],[GroupByKey]]),(DiscreteStatsTable[GroupByKey]=DiscreteStatsTable[[#This Row],[GroupByKey]])*DiscreteStatsTable[Average])),0)</f>
        <v>0.11869708134102724</v>
      </c>
      <c r="P101" s="5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 s="5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6.5732252684284578E-2</v>
      </c>
      <c r="R101" s="5" cm="1">
        <f t="array" ref="R101">MIN(IF((DiscreteStatsTable[GroupByKey]=DiscreteStatsTable[[#This Row],[GroupByKey]]),(DiscreteStatsTable[GroupByKey]=DiscreteStatsTable[[#This Row],[GroupByKey]])*DiscreteStatsTable[Average]))</f>
        <v>1.0140352810774E-2</v>
      </c>
      <c r="S101" s="5" cm="1">
        <f t="array" ref="S101">MAX(IF((DiscreteStatsTable[GroupByKey]=DiscreteStatsTable[[#This Row],[GroupByKey]]),(DiscreteStatsTable[GroupByKey]=DiscreteStatsTable[[#This Row],[GroupByKey]])*DiscreteStatsTable[Average]))</f>
        <v>0.42879381521165499</v>
      </c>
      <c r="T101" s="5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s="5" cm="1">
        <f t="array" ref="U101">MAX(IF((DiscreteStatsTable[GroupByKey]=DiscreteStatsTable[[#This Row],[GroupByKey]]),(DiscreteStatsTable[GroupByKey]=DiscreteStatsTable[[#This Row],[GroupByKey]])*DiscreteStatsTable[Maximum]))</f>
        <v>7.1614883448111302</v>
      </c>
      <c r="V101" s="5" cm="1">
        <f t="array" ref="V101">IFERROR(AVERAGE(IF((DiscreteStatsTable[GroupByKey]=DiscreteStatsTable[[#This Row],[GroupByKey]]),(DiscreteStatsTable[GroupByKey]=DiscreteStatsTable[[#This Row],[GroupByKey]])*DiscreteStatsTable[NumberObservations])),0)</f>
        <v>96.066666666666663</v>
      </c>
      <c r="W101" s="5">
        <f>IF((DiscreteStatsTable[[#This Row],[RepsRequested]]&gt;1),DiscreteStatsTable[[#This Row],[HalfWidth]],DiscreteStatsTable[[#This Row],[BatchMeansHalfWidth]])</f>
        <v>6.5732252684284578E-2</v>
      </c>
      <c r="X101" s="5" cm="1">
        <f t="array" ref="X101">COUNT(IF((DiscreteStatsTable[GroupByKey]=DiscreteStatsTable[[#This Row],[GroupByKey]]),(DiscreteStatsTable[GroupByKey]=DiscreteStatsTable[[#This Row],[GroupByKey]])*DiscreteStatsTable[Replication]))</f>
        <v>15</v>
      </c>
      <c r="Y101" s="5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69</v>
      </c>
      <c r="C102">
        <v>11</v>
      </c>
      <c r="D102" t="s">
        <v>78</v>
      </c>
      <c r="E102" t="s">
        <v>79</v>
      </c>
      <c r="F102" t="s">
        <v>80</v>
      </c>
      <c r="G102">
        <v>0.14363994339996999</v>
      </c>
      <c r="H102">
        <v>2E+20</v>
      </c>
      <c r="I102">
        <v>0</v>
      </c>
      <c r="J102">
        <v>3.87276389842603</v>
      </c>
      <c r="K102">
        <v>102</v>
      </c>
      <c r="L102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102" s="5" cm="1">
        <f t="array" ref="M102">MAX(IF((ProjectInfoTable[ProjectName]=DiscreteStatsTable[[#This Row],[ProjectName]]),(ProjectInfoTable[ProjectName]=DiscreteStatsTable[[#This Row],[ProjectName]])*ProjectInfoTable[NumberOfReplications]))</f>
        <v>15</v>
      </c>
      <c r="N102" s="5" cm="1">
        <f t="array" ref="N102">IFERROR(AVERAGE(IF((DiscreteStatsTable[GroupByKey]=DiscreteStatsTable[[#This Row],[GroupByKey]]),(DiscreteStatsTable[GroupByKey]=DiscreteStatsTable[[#This Row],[GroupByKey]])*DiscreteStatsTable[Average])),0)</f>
        <v>0.17398390854051871</v>
      </c>
      <c r="O102" s="5" cm="1">
        <f t="array" ref="O102">IFERROR(_xlfn.STDEV.S(IF((DiscreteStatsTable[GroupByKey]=DiscreteStatsTable[[#This Row],[GroupByKey]]),(DiscreteStatsTable[GroupByKey]=DiscreteStatsTable[[#This Row],[GroupByKey]])*DiscreteStatsTable[Average])),0)</f>
        <v>0.11869708134102724</v>
      </c>
      <c r="P102" s="5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 s="5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6.5732252684284578E-2</v>
      </c>
      <c r="R102" s="5" cm="1">
        <f t="array" ref="R102">MIN(IF((DiscreteStatsTable[GroupByKey]=DiscreteStatsTable[[#This Row],[GroupByKey]]),(DiscreteStatsTable[GroupByKey]=DiscreteStatsTable[[#This Row],[GroupByKey]])*DiscreteStatsTable[Average]))</f>
        <v>1.0140352810774E-2</v>
      </c>
      <c r="S102" s="5" cm="1">
        <f t="array" ref="S102">MAX(IF((DiscreteStatsTable[GroupByKey]=DiscreteStatsTable[[#This Row],[GroupByKey]]),(DiscreteStatsTable[GroupByKey]=DiscreteStatsTable[[#This Row],[GroupByKey]])*DiscreteStatsTable[Average]))</f>
        <v>0.42879381521165499</v>
      </c>
      <c r="T102" s="5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s="5" cm="1">
        <f t="array" ref="U102">MAX(IF((DiscreteStatsTable[GroupByKey]=DiscreteStatsTable[[#This Row],[GroupByKey]]),(DiscreteStatsTable[GroupByKey]=DiscreteStatsTable[[#This Row],[GroupByKey]])*DiscreteStatsTable[Maximum]))</f>
        <v>7.1614883448111302</v>
      </c>
      <c r="V102" s="5" cm="1">
        <f t="array" ref="V102">IFERROR(AVERAGE(IF((DiscreteStatsTable[GroupByKey]=DiscreteStatsTable[[#This Row],[GroupByKey]]),(DiscreteStatsTable[GroupByKey]=DiscreteStatsTable[[#This Row],[GroupByKey]])*DiscreteStatsTable[NumberObservations])),0)</f>
        <v>96.066666666666663</v>
      </c>
      <c r="W102" s="5">
        <f>IF((DiscreteStatsTable[[#This Row],[RepsRequested]]&gt;1),DiscreteStatsTable[[#This Row],[HalfWidth]],DiscreteStatsTable[[#This Row],[BatchMeansHalfWidth]])</f>
        <v>6.5732252684284578E-2</v>
      </c>
      <c r="X102" s="5" cm="1">
        <f t="array" ref="X102">COUNT(IF((DiscreteStatsTable[GroupByKey]=DiscreteStatsTable[[#This Row],[GroupByKey]]),(DiscreteStatsTable[GroupByKey]=DiscreteStatsTable[[#This Row],[GroupByKey]])*DiscreteStatsTable[Replication]))</f>
        <v>15</v>
      </c>
      <c r="Y102" s="5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69</v>
      </c>
      <c r="C103">
        <v>12</v>
      </c>
      <c r="D103" t="s">
        <v>78</v>
      </c>
      <c r="E103" t="s">
        <v>79</v>
      </c>
      <c r="F103" t="s">
        <v>80</v>
      </c>
      <c r="G103">
        <v>0.22559633343271199</v>
      </c>
      <c r="H103">
        <v>2E+20</v>
      </c>
      <c r="I103">
        <v>0</v>
      </c>
      <c r="J103">
        <v>4.0476584304148</v>
      </c>
      <c r="K103">
        <v>84</v>
      </c>
      <c r="L103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103" s="5" cm="1">
        <f t="array" ref="M103">MAX(IF((ProjectInfoTable[ProjectName]=DiscreteStatsTable[[#This Row],[ProjectName]]),(ProjectInfoTable[ProjectName]=DiscreteStatsTable[[#This Row],[ProjectName]])*ProjectInfoTable[NumberOfReplications]))</f>
        <v>15</v>
      </c>
      <c r="N103" s="5" cm="1">
        <f t="array" ref="N103">IFERROR(AVERAGE(IF((DiscreteStatsTable[GroupByKey]=DiscreteStatsTable[[#This Row],[GroupByKey]]),(DiscreteStatsTable[GroupByKey]=DiscreteStatsTable[[#This Row],[GroupByKey]])*DiscreteStatsTable[Average])),0)</f>
        <v>0.17398390854051871</v>
      </c>
      <c r="O103" s="5" cm="1">
        <f t="array" ref="O103">IFERROR(_xlfn.STDEV.S(IF((DiscreteStatsTable[GroupByKey]=DiscreteStatsTable[[#This Row],[GroupByKey]]),(DiscreteStatsTable[GroupByKey]=DiscreteStatsTable[[#This Row],[GroupByKey]])*DiscreteStatsTable[Average])),0)</f>
        <v>0.11869708134102724</v>
      </c>
      <c r="P103" s="5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 s="5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6.5732252684284578E-2</v>
      </c>
      <c r="R103" s="5" cm="1">
        <f t="array" ref="R103">MIN(IF((DiscreteStatsTable[GroupByKey]=DiscreteStatsTable[[#This Row],[GroupByKey]]),(DiscreteStatsTable[GroupByKey]=DiscreteStatsTable[[#This Row],[GroupByKey]])*DiscreteStatsTable[Average]))</f>
        <v>1.0140352810774E-2</v>
      </c>
      <c r="S103" s="5" cm="1">
        <f t="array" ref="S103">MAX(IF((DiscreteStatsTable[GroupByKey]=DiscreteStatsTable[[#This Row],[GroupByKey]]),(DiscreteStatsTable[GroupByKey]=DiscreteStatsTable[[#This Row],[GroupByKey]])*DiscreteStatsTable[Average]))</f>
        <v>0.42879381521165499</v>
      </c>
      <c r="T103" s="5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s="5" cm="1">
        <f t="array" ref="U103">MAX(IF((DiscreteStatsTable[GroupByKey]=DiscreteStatsTable[[#This Row],[GroupByKey]]),(DiscreteStatsTable[GroupByKey]=DiscreteStatsTable[[#This Row],[GroupByKey]])*DiscreteStatsTable[Maximum]))</f>
        <v>7.1614883448111302</v>
      </c>
      <c r="V103" s="5" cm="1">
        <f t="array" ref="V103">IFERROR(AVERAGE(IF((DiscreteStatsTable[GroupByKey]=DiscreteStatsTable[[#This Row],[GroupByKey]]),(DiscreteStatsTable[GroupByKey]=DiscreteStatsTable[[#This Row],[GroupByKey]])*DiscreteStatsTable[NumberObservations])),0)</f>
        <v>96.066666666666663</v>
      </c>
      <c r="W103" s="5">
        <f>IF((DiscreteStatsTable[[#This Row],[RepsRequested]]&gt;1),DiscreteStatsTable[[#This Row],[HalfWidth]],DiscreteStatsTable[[#This Row],[BatchMeansHalfWidth]])</f>
        <v>6.5732252684284578E-2</v>
      </c>
      <c r="X103" s="5" cm="1">
        <f t="array" ref="X103">COUNT(IF((DiscreteStatsTable[GroupByKey]=DiscreteStatsTable[[#This Row],[GroupByKey]]),(DiscreteStatsTable[GroupByKey]=DiscreteStatsTable[[#This Row],[GroupByKey]])*DiscreteStatsTable[Replication]))</f>
        <v>15</v>
      </c>
      <c r="Y103" s="5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69</v>
      </c>
      <c r="C104">
        <v>13</v>
      </c>
      <c r="D104" t="s">
        <v>78</v>
      </c>
      <c r="E104" t="s">
        <v>79</v>
      </c>
      <c r="F104" t="s">
        <v>80</v>
      </c>
      <c r="G104">
        <v>0.181030575170401</v>
      </c>
      <c r="H104">
        <v>2E+20</v>
      </c>
      <c r="I104">
        <v>0</v>
      </c>
      <c r="J104">
        <v>4.2487530466776704</v>
      </c>
      <c r="K104">
        <v>99</v>
      </c>
      <c r="L104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104" s="5" cm="1">
        <f t="array" ref="M104">MAX(IF((ProjectInfoTable[ProjectName]=DiscreteStatsTable[[#This Row],[ProjectName]]),(ProjectInfoTable[ProjectName]=DiscreteStatsTable[[#This Row],[ProjectName]])*ProjectInfoTable[NumberOfReplications]))</f>
        <v>15</v>
      </c>
      <c r="N104" s="5" cm="1">
        <f t="array" ref="N104">IFERROR(AVERAGE(IF((DiscreteStatsTable[GroupByKey]=DiscreteStatsTable[[#This Row],[GroupByKey]]),(DiscreteStatsTable[GroupByKey]=DiscreteStatsTable[[#This Row],[GroupByKey]])*DiscreteStatsTable[Average])),0)</f>
        <v>0.17398390854051871</v>
      </c>
      <c r="O104" s="5" cm="1">
        <f t="array" ref="O104">IFERROR(_xlfn.STDEV.S(IF((DiscreteStatsTable[GroupByKey]=DiscreteStatsTable[[#This Row],[GroupByKey]]),(DiscreteStatsTable[GroupByKey]=DiscreteStatsTable[[#This Row],[GroupByKey]])*DiscreteStatsTable[Average])),0)</f>
        <v>0.11869708134102724</v>
      </c>
      <c r="P104" s="5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 s="5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6.5732252684284578E-2</v>
      </c>
      <c r="R104" s="5" cm="1">
        <f t="array" ref="R104">MIN(IF((DiscreteStatsTable[GroupByKey]=DiscreteStatsTable[[#This Row],[GroupByKey]]),(DiscreteStatsTable[GroupByKey]=DiscreteStatsTable[[#This Row],[GroupByKey]])*DiscreteStatsTable[Average]))</f>
        <v>1.0140352810774E-2</v>
      </c>
      <c r="S104" s="5" cm="1">
        <f t="array" ref="S104">MAX(IF((DiscreteStatsTable[GroupByKey]=DiscreteStatsTable[[#This Row],[GroupByKey]]),(DiscreteStatsTable[GroupByKey]=DiscreteStatsTable[[#This Row],[GroupByKey]])*DiscreteStatsTable[Average]))</f>
        <v>0.42879381521165499</v>
      </c>
      <c r="T104" s="5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s="5" cm="1">
        <f t="array" ref="U104">MAX(IF((DiscreteStatsTable[GroupByKey]=DiscreteStatsTable[[#This Row],[GroupByKey]]),(DiscreteStatsTable[GroupByKey]=DiscreteStatsTable[[#This Row],[GroupByKey]])*DiscreteStatsTable[Maximum]))</f>
        <v>7.1614883448111302</v>
      </c>
      <c r="V104" s="5" cm="1">
        <f t="array" ref="V104">IFERROR(AVERAGE(IF((DiscreteStatsTable[GroupByKey]=DiscreteStatsTable[[#This Row],[GroupByKey]]),(DiscreteStatsTable[GroupByKey]=DiscreteStatsTable[[#This Row],[GroupByKey]])*DiscreteStatsTable[NumberObservations])),0)</f>
        <v>96.066666666666663</v>
      </c>
      <c r="W104" s="5">
        <f>IF((DiscreteStatsTable[[#This Row],[RepsRequested]]&gt;1),DiscreteStatsTable[[#This Row],[HalfWidth]],DiscreteStatsTable[[#This Row],[BatchMeansHalfWidth]])</f>
        <v>6.5732252684284578E-2</v>
      </c>
      <c r="X104" s="5" cm="1">
        <f t="array" ref="X104">COUNT(IF((DiscreteStatsTable[GroupByKey]=DiscreteStatsTable[[#This Row],[GroupByKey]]),(DiscreteStatsTable[GroupByKey]=DiscreteStatsTable[[#This Row],[GroupByKey]])*DiscreteStatsTable[Replication]))</f>
        <v>15</v>
      </c>
      <c r="Y104" s="5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69</v>
      </c>
      <c r="C105">
        <v>14</v>
      </c>
      <c r="D105" t="s">
        <v>78</v>
      </c>
      <c r="E105" t="s">
        <v>79</v>
      </c>
      <c r="F105" t="s">
        <v>80</v>
      </c>
      <c r="G105">
        <v>0.175411549832172</v>
      </c>
      <c r="H105">
        <v>2E+20</v>
      </c>
      <c r="I105">
        <v>0</v>
      </c>
      <c r="J105">
        <v>2.5116925185140202</v>
      </c>
      <c r="K105">
        <v>96</v>
      </c>
      <c r="L105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105" s="5" cm="1">
        <f t="array" ref="M105">MAX(IF((ProjectInfoTable[ProjectName]=DiscreteStatsTable[[#This Row],[ProjectName]]),(ProjectInfoTable[ProjectName]=DiscreteStatsTable[[#This Row],[ProjectName]])*ProjectInfoTable[NumberOfReplications]))</f>
        <v>15</v>
      </c>
      <c r="N105" s="5" cm="1">
        <f t="array" ref="N105">IFERROR(AVERAGE(IF((DiscreteStatsTable[GroupByKey]=DiscreteStatsTable[[#This Row],[GroupByKey]]),(DiscreteStatsTable[GroupByKey]=DiscreteStatsTable[[#This Row],[GroupByKey]])*DiscreteStatsTable[Average])),0)</f>
        <v>0.17398390854051871</v>
      </c>
      <c r="O105" s="5" cm="1">
        <f t="array" ref="O105">IFERROR(_xlfn.STDEV.S(IF((DiscreteStatsTable[GroupByKey]=DiscreteStatsTable[[#This Row],[GroupByKey]]),(DiscreteStatsTable[GroupByKey]=DiscreteStatsTable[[#This Row],[GroupByKey]])*DiscreteStatsTable[Average])),0)</f>
        <v>0.11869708134102724</v>
      </c>
      <c r="P105" s="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 s="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6.5732252684284578E-2</v>
      </c>
      <c r="R105" s="5" cm="1">
        <f t="array" ref="R105">MIN(IF((DiscreteStatsTable[GroupByKey]=DiscreteStatsTable[[#This Row],[GroupByKey]]),(DiscreteStatsTable[GroupByKey]=DiscreteStatsTable[[#This Row],[GroupByKey]])*DiscreteStatsTable[Average]))</f>
        <v>1.0140352810774E-2</v>
      </c>
      <c r="S105" s="5" cm="1">
        <f t="array" ref="S105">MAX(IF((DiscreteStatsTable[GroupByKey]=DiscreteStatsTable[[#This Row],[GroupByKey]]),(DiscreteStatsTable[GroupByKey]=DiscreteStatsTable[[#This Row],[GroupByKey]])*DiscreteStatsTable[Average]))</f>
        <v>0.42879381521165499</v>
      </c>
      <c r="T105" s="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s="5" cm="1">
        <f t="array" ref="U105">MAX(IF((DiscreteStatsTable[GroupByKey]=DiscreteStatsTable[[#This Row],[GroupByKey]]),(DiscreteStatsTable[GroupByKey]=DiscreteStatsTable[[#This Row],[GroupByKey]])*DiscreteStatsTable[Maximum]))</f>
        <v>7.1614883448111302</v>
      </c>
      <c r="V105" s="5" cm="1">
        <f t="array" ref="V105">IFERROR(AVERAGE(IF((DiscreteStatsTable[GroupByKey]=DiscreteStatsTable[[#This Row],[GroupByKey]]),(DiscreteStatsTable[GroupByKey]=DiscreteStatsTable[[#This Row],[GroupByKey]])*DiscreteStatsTable[NumberObservations])),0)</f>
        <v>96.066666666666663</v>
      </c>
      <c r="W105" s="5">
        <f>IF((DiscreteStatsTable[[#This Row],[RepsRequested]]&gt;1),DiscreteStatsTable[[#This Row],[HalfWidth]],DiscreteStatsTable[[#This Row],[BatchMeansHalfWidth]])</f>
        <v>6.5732252684284578E-2</v>
      </c>
      <c r="X105" s="5" cm="1">
        <f t="array" ref="X105">COUNT(IF((DiscreteStatsTable[GroupByKey]=DiscreteStatsTable[[#This Row],[GroupByKey]]),(DiscreteStatsTable[GroupByKey]=DiscreteStatsTable[[#This Row],[GroupByKey]])*DiscreteStatsTable[Replication]))</f>
        <v>15</v>
      </c>
      <c r="Y105" s="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69</v>
      </c>
      <c r="C106">
        <v>15</v>
      </c>
      <c r="D106" t="s">
        <v>78</v>
      </c>
      <c r="E106" t="s">
        <v>79</v>
      </c>
      <c r="F106" t="s">
        <v>80</v>
      </c>
      <c r="G106">
        <v>9.8415030438782899E-2</v>
      </c>
      <c r="H106">
        <v>2E+20</v>
      </c>
      <c r="I106">
        <v>0</v>
      </c>
      <c r="J106">
        <v>3.4622521247683302</v>
      </c>
      <c r="K106">
        <v>87</v>
      </c>
      <c r="L106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106" s="5" cm="1">
        <f t="array" ref="M106">MAX(IF((ProjectInfoTable[ProjectName]=DiscreteStatsTable[[#This Row],[ProjectName]]),(ProjectInfoTable[ProjectName]=DiscreteStatsTable[[#This Row],[ProjectName]])*ProjectInfoTable[NumberOfReplications]))</f>
        <v>15</v>
      </c>
      <c r="N106" s="5" cm="1">
        <f t="array" ref="N106">IFERROR(AVERAGE(IF((DiscreteStatsTable[GroupByKey]=DiscreteStatsTable[[#This Row],[GroupByKey]]),(DiscreteStatsTable[GroupByKey]=DiscreteStatsTable[[#This Row],[GroupByKey]])*DiscreteStatsTable[Average])),0)</f>
        <v>0.17398390854051871</v>
      </c>
      <c r="O106" s="5" cm="1">
        <f t="array" ref="O106">IFERROR(_xlfn.STDEV.S(IF((DiscreteStatsTable[GroupByKey]=DiscreteStatsTable[[#This Row],[GroupByKey]]),(DiscreteStatsTable[GroupByKey]=DiscreteStatsTable[[#This Row],[GroupByKey]])*DiscreteStatsTable[Average])),0)</f>
        <v>0.11869708134102724</v>
      </c>
      <c r="P106" s="5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 s="5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6.5732252684284578E-2</v>
      </c>
      <c r="R106" s="5" cm="1">
        <f t="array" ref="R106">MIN(IF((DiscreteStatsTable[GroupByKey]=DiscreteStatsTable[[#This Row],[GroupByKey]]),(DiscreteStatsTable[GroupByKey]=DiscreteStatsTable[[#This Row],[GroupByKey]])*DiscreteStatsTable[Average]))</f>
        <v>1.0140352810774E-2</v>
      </c>
      <c r="S106" s="5" cm="1">
        <f t="array" ref="S106">MAX(IF((DiscreteStatsTable[GroupByKey]=DiscreteStatsTable[[#This Row],[GroupByKey]]),(DiscreteStatsTable[GroupByKey]=DiscreteStatsTable[[#This Row],[GroupByKey]])*DiscreteStatsTable[Average]))</f>
        <v>0.42879381521165499</v>
      </c>
      <c r="T106" s="5" cm="1">
        <f t="array" ref="T106">MIN(IF((DiscreteStatsTable[GroupByKey]=DiscreteStatsTable[[#This Row],[GroupByKey]]),(DiscreteStatsTable[GroupByKey]=DiscreteStatsTable[[#This Row],[GroupByKey]])*DiscreteStatsTable[Minimum]))</f>
        <v>0</v>
      </c>
      <c r="U106" s="5" cm="1">
        <f t="array" ref="U106">MAX(IF((DiscreteStatsTable[GroupByKey]=DiscreteStatsTable[[#This Row],[GroupByKey]]),(DiscreteStatsTable[GroupByKey]=DiscreteStatsTable[[#This Row],[GroupByKey]])*DiscreteStatsTable[Maximum]))</f>
        <v>7.1614883448111302</v>
      </c>
      <c r="V106" s="5" cm="1">
        <f t="array" ref="V106">IFERROR(AVERAGE(IF((DiscreteStatsTable[GroupByKey]=DiscreteStatsTable[[#This Row],[GroupByKey]]),(DiscreteStatsTable[GroupByKey]=DiscreteStatsTable[[#This Row],[GroupByKey]])*DiscreteStatsTable[NumberObservations])),0)</f>
        <v>96.066666666666663</v>
      </c>
      <c r="W106" s="5">
        <f>IF((DiscreteStatsTable[[#This Row],[RepsRequested]]&gt;1),DiscreteStatsTable[[#This Row],[HalfWidth]],DiscreteStatsTable[[#This Row],[BatchMeansHalfWidth]])</f>
        <v>6.5732252684284578E-2</v>
      </c>
      <c r="X106" s="5" cm="1">
        <f t="array" ref="X106">COUNT(IF((DiscreteStatsTable[GroupByKey]=DiscreteStatsTable[[#This Row],[GroupByKey]]),(DiscreteStatsTable[GroupByKey]=DiscreteStatsTable[[#This Row],[GroupByKey]])*DiscreteStatsTable[Replication]))</f>
        <v>15</v>
      </c>
      <c r="Y106" s="5">
        <f>IF(DiscreteStatsTable[[#This Row],[RepsRequested]]=DiscreteStatsTable[[#This Row],[RepsWithStatObserved]],1,0)</f>
        <v>1</v>
      </c>
    </row>
  </sheetData>
  <phoneticPr fontId="2" type="noConversion"/>
  <conditionalFormatting sqref="H2:H106 Q2:Q106">
    <cfRule type="expression" dxfId="51" priority="23">
      <formula>H2=200000000000000000000</formula>
    </cfRule>
  </conditionalFormatting>
  <conditionalFormatting sqref="H2:H106">
    <cfRule type="expression" dxfId="50" priority="21">
      <formula>H2=300000000000000000000</formula>
    </cfRule>
  </conditionalFormatting>
  <conditionalFormatting sqref="L2:Y106">
    <cfRule type="expression" dxfId="49" priority="19">
      <formula>MOD(ROW(),2)=0</formula>
    </cfRule>
  </conditionalFormatting>
  <conditionalFormatting sqref="Y2:Y106">
    <cfRule type="expression" dxfId="48" priority="14">
      <formula>Y2=0</formula>
    </cfRule>
    <cfRule type="expression" dxfId="47" priority="16">
      <formula>Y2=1</formula>
    </cfRule>
  </conditionalFormatting>
  <conditionalFormatting sqref="Y3:Y106">
    <cfRule type="expression" dxfId="46" priority="15">
      <formula>Y3=1</formula>
    </cfRule>
  </conditionalFormatting>
  <conditionalFormatting sqref="W2:W106">
    <cfRule type="expression" dxfId="45" priority="6">
      <formula>W2=300000000000000000000</formula>
    </cfRule>
    <cfRule type="expression" dxfId="44" priority="7">
      <formula>W2=200000000000000000000</formula>
    </cfRule>
  </conditionalFormatting>
  <conditionalFormatting sqref="Q2:Q106 W2:W106">
    <cfRule type="expression" dxfId="43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76"/>
  <sheetViews>
    <sheetView workbookViewId="0">
      <selection activeCell="A2" sqref="A2:L1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14.44140625" bestFit="1" customWidth="1"/>
    <col min="5" max="5" width="21.6640625" bestFit="1" customWidth="1"/>
    <col min="6" max="6" width="9" bestFit="1" customWidth="1"/>
    <col min="7" max="7" width="12" bestFit="1" customWidth="1"/>
    <col min="8" max="8" width="22.33203125" bestFit="1" customWidth="1"/>
    <col min="9" max="9" width="11.44140625" bestFit="1" customWidth="1"/>
    <col min="10" max="10" width="11.77734375" bestFit="1" customWidth="1"/>
    <col min="11" max="11" width="19.5546875" bestFit="1" customWidth="1"/>
    <col min="12" max="12" width="11.33203125" bestFit="1" customWidth="1"/>
    <col min="13" max="13" width="48" bestFit="1" customWidth="1"/>
    <col min="14" max="14" width="16.21875" bestFit="1" customWidth="1"/>
    <col min="15" max="15" width="19.109375" bestFit="1" customWidth="1"/>
    <col min="16" max="16" width="17.109375" bestFit="1" customWidth="1"/>
    <col min="17" max="17" width="19.44140625" bestFit="1" customWidth="1"/>
    <col min="18" max="18" width="12" bestFit="1" customWidth="1"/>
    <col min="19" max="19" width="18.44140625" bestFit="1" customWidth="1"/>
    <col min="20" max="20" width="18.77734375" bestFit="1" customWidth="1"/>
    <col min="21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69</v>
      </c>
      <c r="C2">
        <v>1</v>
      </c>
      <c r="D2" t="s">
        <v>70</v>
      </c>
      <c r="E2" t="s">
        <v>81</v>
      </c>
      <c r="F2" t="s">
        <v>72</v>
      </c>
      <c r="G2">
        <v>1.07326825122645</v>
      </c>
      <c r="H2">
        <v>2E+20</v>
      </c>
      <c r="I2">
        <v>0</v>
      </c>
      <c r="J2">
        <v>5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15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1.1020792054910398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0.1267802587228237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7.0208567115518081E-2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0.90784484322507997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1.41033627462843</v>
      </c>
      <c r="U2">
        <f>IF((ContinuousStatsTable[[#This Row],[RepsRequested]]&gt;1),ContinuousStatsTable[[#This Row],[HalfWidth]],ContinuousStatsTable[[#This Row],[BatchMeansHalfWidth]])</f>
        <v>7.0208567115518081E-2</v>
      </c>
    </row>
    <row r="3" spans="1:21" x14ac:dyDescent="0.3">
      <c r="A3" t="s">
        <v>66</v>
      </c>
      <c r="B3" t="s">
        <v>69</v>
      </c>
      <c r="C3">
        <v>1</v>
      </c>
      <c r="D3" t="s">
        <v>82</v>
      </c>
      <c r="E3" t="s">
        <v>83</v>
      </c>
      <c r="F3" t="s">
        <v>84</v>
      </c>
      <c r="G3">
        <v>0.34638321894525598</v>
      </c>
      <c r="H3">
        <v>2E+20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15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0.35538558845326457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3.5995680767676695E-2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1.9933743585200864E-2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0.29520999449618501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0.43628573463419201</v>
      </c>
      <c r="U3">
        <f>IF((ContinuousStatsTable[[#This Row],[RepsRequested]]&gt;1),ContinuousStatsTable[[#This Row],[HalfWidth]],ContinuousStatsTable[[#This Row],[BatchMeansHalfWidth]])</f>
        <v>1.9933743585200864E-2</v>
      </c>
    </row>
    <row r="4" spans="1:21" x14ac:dyDescent="0.3">
      <c r="A4" t="s">
        <v>66</v>
      </c>
      <c r="B4" t="s">
        <v>69</v>
      </c>
      <c r="C4">
        <v>1</v>
      </c>
      <c r="D4" t="s">
        <v>82</v>
      </c>
      <c r="E4" t="s">
        <v>85</v>
      </c>
      <c r="F4" t="s">
        <v>84</v>
      </c>
      <c r="G4">
        <v>1.0391496568357701</v>
      </c>
      <c r="H4">
        <v>2E+20</v>
      </c>
      <c r="I4">
        <v>0</v>
      </c>
      <c r="J4">
        <v>3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15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1.0661567653597936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0.10798704230303055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5.9801230755602848E-2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0.88562998348855504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1.3088572039025801</v>
      </c>
      <c r="U4">
        <f>IF((ContinuousStatsTable[[#This Row],[RepsRequested]]&gt;1),ContinuousStatsTable[[#This Row],[HalfWidth]],ContinuousStatsTable[[#This Row],[BatchMeansHalfWidth]])</f>
        <v>5.9801230755602848E-2</v>
      </c>
    </row>
    <row r="5" spans="1:21" x14ac:dyDescent="0.3">
      <c r="A5" t="s">
        <v>66</v>
      </c>
      <c r="B5" t="s">
        <v>69</v>
      </c>
      <c r="C5">
        <v>1</v>
      </c>
      <c r="D5" t="s">
        <v>82</v>
      </c>
      <c r="E5" t="s">
        <v>86</v>
      </c>
      <c r="F5" t="s">
        <v>84</v>
      </c>
      <c r="G5">
        <v>3</v>
      </c>
      <c r="H5">
        <v>2E+20</v>
      </c>
      <c r="I5">
        <v>3</v>
      </c>
      <c r="J5">
        <v>3</v>
      </c>
      <c r="K5">
        <v>3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15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3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3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3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">
      <c r="A6" t="s">
        <v>66</v>
      </c>
      <c r="B6" t="s">
        <v>69</v>
      </c>
      <c r="C6">
        <v>1</v>
      </c>
      <c r="D6" t="s">
        <v>78</v>
      </c>
      <c r="E6" t="s">
        <v>87</v>
      </c>
      <c r="F6" t="s">
        <v>80</v>
      </c>
      <c r="G6">
        <v>3.4118594390685202E-2</v>
      </c>
      <c r="H6">
        <v>2E+20</v>
      </c>
      <c r="I6">
        <v>0</v>
      </c>
      <c r="J6">
        <v>2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15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3.5922440131245965E-2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2.6927906502440924E-2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1.4912177574036362E-2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1.73231027184055E-3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0.10147907072585501</v>
      </c>
      <c r="U6">
        <f>IF((ContinuousStatsTable[[#This Row],[RepsRequested]]&gt;1),ContinuousStatsTable[[#This Row],[HalfWidth]],ContinuousStatsTable[[#This Row],[BatchMeansHalfWidth]])</f>
        <v>1.4912177574036362E-2</v>
      </c>
    </row>
    <row r="7" spans="1:21" x14ac:dyDescent="0.3">
      <c r="A7" t="s">
        <v>66</v>
      </c>
      <c r="B7" t="s">
        <v>69</v>
      </c>
      <c r="C7">
        <v>2</v>
      </c>
      <c r="D7" t="s">
        <v>70</v>
      </c>
      <c r="E7" t="s">
        <v>81</v>
      </c>
      <c r="F7" t="s">
        <v>72</v>
      </c>
      <c r="G7">
        <v>1.22378188702875</v>
      </c>
      <c r="H7">
        <v>2E+20</v>
      </c>
      <c r="I7">
        <v>0</v>
      </c>
      <c r="J7">
        <v>6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15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1.1020792054910398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0.1267802587228237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7.0208567115518081E-2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0.90784484322507997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1.41033627462843</v>
      </c>
      <c r="U7">
        <f>IF((ContinuousStatsTable[[#This Row],[RepsRequested]]&gt;1),ContinuousStatsTable[[#This Row],[HalfWidth]],ContinuousStatsTable[[#This Row],[BatchMeansHalfWidth]])</f>
        <v>7.0208567115518081E-2</v>
      </c>
    </row>
    <row r="8" spans="1:21" x14ac:dyDescent="0.3">
      <c r="A8" t="s">
        <v>66</v>
      </c>
      <c r="B8" t="s">
        <v>69</v>
      </c>
      <c r="C8">
        <v>2</v>
      </c>
      <c r="D8" t="s">
        <v>82</v>
      </c>
      <c r="E8" t="s">
        <v>83</v>
      </c>
      <c r="F8" t="s">
        <v>84</v>
      </c>
      <c r="G8">
        <v>0.39313134868701699</v>
      </c>
      <c r="H8">
        <v>2E+20</v>
      </c>
      <c r="I8">
        <v>0</v>
      </c>
      <c r="J8">
        <v>1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15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0.35538558845326457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3.5995680767676695E-2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1.9933743585200864E-2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0.29520999449618501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0.43628573463419201</v>
      </c>
      <c r="U8">
        <f>IF((ContinuousStatsTable[[#This Row],[RepsRequested]]&gt;1),ContinuousStatsTable[[#This Row],[HalfWidth]],ContinuousStatsTable[[#This Row],[BatchMeansHalfWidth]])</f>
        <v>1.9933743585200864E-2</v>
      </c>
    </row>
    <row r="9" spans="1:21" x14ac:dyDescent="0.3">
      <c r="A9" t="s">
        <v>66</v>
      </c>
      <c r="B9" t="s">
        <v>69</v>
      </c>
      <c r="C9">
        <v>2</v>
      </c>
      <c r="D9" t="s">
        <v>82</v>
      </c>
      <c r="E9" t="s">
        <v>85</v>
      </c>
      <c r="F9" t="s">
        <v>84</v>
      </c>
      <c r="G9">
        <v>1.1793940460610499</v>
      </c>
      <c r="H9">
        <v>2E+20</v>
      </c>
      <c r="I9">
        <v>0</v>
      </c>
      <c r="J9">
        <v>3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15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1.0661567653597936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0.10798704230303055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5.9801230755602848E-2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0.88562998348855504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1.3088572039025801</v>
      </c>
      <c r="U9">
        <f>IF((ContinuousStatsTable[[#This Row],[RepsRequested]]&gt;1),ContinuousStatsTable[[#This Row],[HalfWidth]],ContinuousStatsTable[[#This Row],[BatchMeansHalfWidth]])</f>
        <v>5.9801230755602848E-2</v>
      </c>
    </row>
    <row r="10" spans="1:21" x14ac:dyDescent="0.3">
      <c r="A10" t="s">
        <v>66</v>
      </c>
      <c r="B10" t="s">
        <v>69</v>
      </c>
      <c r="C10">
        <v>2</v>
      </c>
      <c r="D10" t="s">
        <v>82</v>
      </c>
      <c r="E10" t="s">
        <v>86</v>
      </c>
      <c r="F10" t="s">
        <v>84</v>
      </c>
      <c r="G10">
        <v>3</v>
      </c>
      <c r="H10">
        <v>2E+20</v>
      </c>
      <c r="I10">
        <v>3</v>
      </c>
      <c r="J10">
        <v>3</v>
      </c>
      <c r="K10">
        <v>3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15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3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3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3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69</v>
      </c>
      <c r="C11">
        <v>2</v>
      </c>
      <c r="D11" t="s">
        <v>78</v>
      </c>
      <c r="E11" t="s">
        <v>87</v>
      </c>
      <c r="F11" t="s">
        <v>80</v>
      </c>
      <c r="G11">
        <v>4.43878409676998E-2</v>
      </c>
      <c r="H11">
        <v>2E+20</v>
      </c>
      <c r="I11">
        <v>0</v>
      </c>
      <c r="J11">
        <v>3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15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3.5922440131245965E-2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2.6927906502440924E-2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1.4912177574036362E-2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1.73231027184055E-3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0.10147907072585501</v>
      </c>
      <c r="U11">
        <f>IF((ContinuousStatsTable[[#This Row],[RepsRequested]]&gt;1),ContinuousStatsTable[[#This Row],[HalfWidth]],ContinuousStatsTable[[#This Row],[BatchMeansHalfWidth]])</f>
        <v>1.4912177574036362E-2</v>
      </c>
    </row>
    <row r="12" spans="1:21" x14ac:dyDescent="0.3">
      <c r="A12" t="s">
        <v>66</v>
      </c>
      <c r="B12" t="s">
        <v>69</v>
      </c>
      <c r="C12">
        <v>3</v>
      </c>
      <c r="D12" t="s">
        <v>70</v>
      </c>
      <c r="E12" t="s">
        <v>81</v>
      </c>
      <c r="F12" t="s">
        <v>72</v>
      </c>
      <c r="G12">
        <v>1.41033627462843</v>
      </c>
      <c r="H12">
        <v>2E+20</v>
      </c>
      <c r="I12">
        <v>0</v>
      </c>
      <c r="J12">
        <v>7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15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1.1020792054910398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0.1267802587228237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7.0208567115518081E-2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0.90784484322507997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1.41033627462843</v>
      </c>
      <c r="U12" s="5">
        <f>IF((ContinuousStatsTable[[#This Row],[RepsRequested]]&gt;1),ContinuousStatsTable[[#This Row],[HalfWidth]],ContinuousStatsTable[[#This Row],[BatchMeansHalfWidth]])</f>
        <v>7.0208567115518081E-2</v>
      </c>
    </row>
    <row r="13" spans="1:21" x14ac:dyDescent="0.3">
      <c r="A13" t="s">
        <v>66</v>
      </c>
      <c r="B13" t="s">
        <v>69</v>
      </c>
      <c r="C13">
        <v>3</v>
      </c>
      <c r="D13" t="s">
        <v>82</v>
      </c>
      <c r="E13" t="s">
        <v>83</v>
      </c>
      <c r="F13" t="s">
        <v>84</v>
      </c>
      <c r="G13">
        <v>0.43628573463419201</v>
      </c>
      <c r="H13">
        <v>2E+20</v>
      </c>
      <c r="I13">
        <v>0</v>
      </c>
      <c r="J13">
        <v>1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15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0.35538558845326457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3.5995680767676695E-2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1.9933743585200864E-2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0.29520999449618501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0.43628573463419201</v>
      </c>
      <c r="U13" s="5">
        <f>IF((ContinuousStatsTable[[#This Row],[RepsRequested]]&gt;1),ContinuousStatsTable[[#This Row],[HalfWidth]],ContinuousStatsTable[[#This Row],[BatchMeansHalfWidth]])</f>
        <v>1.9933743585200864E-2</v>
      </c>
    </row>
    <row r="14" spans="1:21" x14ac:dyDescent="0.3">
      <c r="A14" t="s">
        <v>66</v>
      </c>
      <c r="B14" t="s">
        <v>69</v>
      </c>
      <c r="C14">
        <v>3</v>
      </c>
      <c r="D14" t="s">
        <v>82</v>
      </c>
      <c r="E14" t="s">
        <v>85</v>
      </c>
      <c r="F14" t="s">
        <v>84</v>
      </c>
      <c r="G14">
        <v>1.3088572039025801</v>
      </c>
      <c r="H14">
        <v>2E+20</v>
      </c>
      <c r="I14">
        <v>0</v>
      </c>
      <c r="J14">
        <v>3</v>
      </c>
      <c r="K14">
        <v>0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15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1.0661567653597936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0.10798704230303055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5.9801230755602848E-2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0.88562998348855504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1.3088572039025801</v>
      </c>
      <c r="U14" s="5">
        <f>IF((ContinuousStatsTable[[#This Row],[RepsRequested]]&gt;1),ContinuousStatsTable[[#This Row],[HalfWidth]],ContinuousStatsTable[[#This Row],[BatchMeansHalfWidth]])</f>
        <v>5.9801230755602848E-2</v>
      </c>
    </row>
    <row r="15" spans="1:21" x14ac:dyDescent="0.3">
      <c r="A15" t="s">
        <v>66</v>
      </c>
      <c r="B15" t="s">
        <v>69</v>
      </c>
      <c r="C15">
        <v>3</v>
      </c>
      <c r="D15" t="s">
        <v>82</v>
      </c>
      <c r="E15" t="s">
        <v>86</v>
      </c>
      <c r="F15" t="s">
        <v>84</v>
      </c>
      <c r="G15">
        <v>3</v>
      </c>
      <c r="H15">
        <v>2E+20</v>
      </c>
      <c r="I15">
        <v>3</v>
      </c>
      <c r="J15">
        <v>3</v>
      </c>
      <c r="K15">
        <v>3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15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3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3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3</v>
      </c>
      <c r="U15" s="5">
        <f>IF((ContinuousStatsTable[[#This Row],[RepsRequested]]&gt;1),ContinuousStatsTable[[#This Row],[HalfWidth]],ContinuousStatsTable[[#This Row],[BatchMeansHalfWidth]])</f>
        <v>0</v>
      </c>
    </row>
    <row r="16" spans="1:21" x14ac:dyDescent="0.3">
      <c r="A16" t="s">
        <v>66</v>
      </c>
      <c r="B16" t="s">
        <v>69</v>
      </c>
      <c r="C16">
        <v>3</v>
      </c>
      <c r="D16" t="s">
        <v>78</v>
      </c>
      <c r="E16" t="s">
        <v>87</v>
      </c>
      <c r="F16" t="s">
        <v>80</v>
      </c>
      <c r="G16">
        <v>0.10147907072585501</v>
      </c>
      <c r="H16">
        <v>2E+20</v>
      </c>
      <c r="I16">
        <v>0</v>
      </c>
      <c r="J16">
        <v>4</v>
      </c>
      <c r="K16">
        <v>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15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3.5922440131245965E-2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2.6927906502440924E-2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1.4912177574036362E-2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1.73231027184055E-3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0.10147907072585501</v>
      </c>
      <c r="U16" s="5">
        <f>IF((ContinuousStatsTable[[#This Row],[RepsRequested]]&gt;1),ContinuousStatsTable[[#This Row],[HalfWidth]],ContinuousStatsTable[[#This Row],[BatchMeansHalfWidth]])</f>
        <v>1.4912177574036362E-2</v>
      </c>
    </row>
    <row r="17" spans="1:21" x14ac:dyDescent="0.3">
      <c r="A17" t="s">
        <v>66</v>
      </c>
      <c r="B17" t="s">
        <v>69</v>
      </c>
      <c r="C17">
        <v>4</v>
      </c>
      <c r="D17" t="s">
        <v>70</v>
      </c>
      <c r="E17" t="s">
        <v>81</v>
      </c>
      <c r="F17" t="s">
        <v>72</v>
      </c>
      <c r="G17">
        <v>1.16174164051896</v>
      </c>
      <c r="H17">
        <v>2E+20</v>
      </c>
      <c r="I17">
        <v>0</v>
      </c>
      <c r="J17">
        <v>4</v>
      </c>
      <c r="K17">
        <v>2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15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1.1020792054910398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0.1267802587228237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7.0208567115518081E-2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0.90784484322507997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1.41033627462843</v>
      </c>
      <c r="U17" s="5">
        <f>IF((ContinuousStatsTable[[#This Row],[RepsRequested]]&gt;1),ContinuousStatsTable[[#This Row],[HalfWidth]],ContinuousStatsTable[[#This Row],[BatchMeansHalfWidth]])</f>
        <v>7.0208567115518081E-2</v>
      </c>
    </row>
    <row r="18" spans="1:21" x14ac:dyDescent="0.3">
      <c r="A18" t="s">
        <v>66</v>
      </c>
      <c r="B18" t="s">
        <v>69</v>
      </c>
      <c r="C18">
        <v>4</v>
      </c>
      <c r="D18" t="s">
        <v>82</v>
      </c>
      <c r="E18" t="s">
        <v>83</v>
      </c>
      <c r="F18" t="s">
        <v>84</v>
      </c>
      <c r="G18">
        <v>0.37697675535078001</v>
      </c>
      <c r="H18">
        <v>2E+20</v>
      </c>
      <c r="I18">
        <v>0</v>
      </c>
      <c r="J18">
        <v>1</v>
      </c>
      <c r="K18">
        <v>0.66666666666666696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15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0.35538558845326457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3.5995680767676695E-2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1.9933743585200864E-2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0.29520999449618501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0.43628573463419201</v>
      </c>
      <c r="U18" s="5">
        <f>IF((ContinuousStatsTable[[#This Row],[RepsRequested]]&gt;1),ContinuousStatsTable[[#This Row],[HalfWidth]],ContinuousStatsTable[[#This Row],[BatchMeansHalfWidth]])</f>
        <v>1.9933743585200864E-2</v>
      </c>
    </row>
    <row r="19" spans="1:21" x14ac:dyDescent="0.3">
      <c r="A19" t="s">
        <v>66</v>
      </c>
      <c r="B19" t="s">
        <v>69</v>
      </c>
      <c r="C19">
        <v>4</v>
      </c>
      <c r="D19" t="s">
        <v>82</v>
      </c>
      <c r="E19" t="s">
        <v>85</v>
      </c>
      <c r="F19" t="s">
        <v>84</v>
      </c>
      <c r="G19">
        <v>1.1309302660523399</v>
      </c>
      <c r="H19">
        <v>2E+20</v>
      </c>
      <c r="I19">
        <v>0</v>
      </c>
      <c r="J19">
        <v>3</v>
      </c>
      <c r="K19">
        <v>2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15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1.0661567653597936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0.10798704230303055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5.9801230755602848E-2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0.88562998348855504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1.3088572039025801</v>
      </c>
      <c r="U19" s="5">
        <f>IF((ContinuousStatsTable[[#This Row],[RepsRequested]]&gt;1),ContinuousStatsTable[[#This Row],[HalfWidth]],ContinuousStatsTable[[#This Row],[BatchMeansHalfWidth]])</f>
        <v>5.9801230755602848E-2</v>
      </c>
    </row>
    <row r="20" spans="1:21" x14ac:dyDescent="0.3">
      <c r="A20" t="s">
        <v>66</v>
      </c>
      <c r="B20" t="s">
        <v>69</v>
      </c>
      <c r="C20">
        <v>4</v>
      </c>
      <c r="D20" t="s">
        <v>82</v>
      </c>
      <c r="E20" t="s">
        <v>86</v>
      </c>
      <c r="F20" t="s">
        <v>84</v>
      </c>
      <c r="G20">
        <v>3</v>
      </c>
      <c r="H20">
        <v>2E+20</v>
      </c>
      <c r="I20">
        <v>3</v>
      </c>
      <c r="J20">
        <v>3</v>
      </c>
      <c r="K20">
        <v>3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15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3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3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3</v>
      </c>
      <c r="U20" s="5">
        <f>IF((ContinuousStatsTable[[#This Row],[RepsRequested]]&gt;1),ContinuousStatsTable[[#This Row],[HalfWidth]],ContinuousStatsTable[[#This Row],[BatchMeansHalfWidth]])</f>
        <v>0</v>
      </c>
    </row>
    <row r="21" spans="1:21" x14ac:dyDescent="0.3">
      <c r="A21" t="s">
        <v>66</v>
      </c>
      <c r="B21" t="s">
        <v>69</v>
      </c>
      <c r="C21">
        <v>4</v>
      </c>
      <c r="D21" t="s">
        <v>78</v>
      </c>
      <c r="E21" t="s">
        <v>87</v>
      </c>
      <c r="F21" t="s">
        <v>80</v>
      </c>
      <c r="G21">
        <v>3.0811374466618E-2</v>
      </c>
      <c r="H21">
        <v>2E+20</v>
      </c>
      <c r="I21">
        <v>0</v>
      </c>
      <c r="J21">
        <v>1</v>
      </c>
      <c r="K21">
        <v>0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15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3.5922440131245965E-2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2.6927906502440924E-2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1.4912177574036362E-2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1.73231027184055E-3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0.10147907072585501</v>
      </c>
      <c r="U21" s="5">
        <f>IF((ContinuousStatsTable[[#This Row],[RepsRequested]]&gt;1),ContinuousStatsTable[[#This Row],[HalfWidth]],ContinuousStatsTable[[#This Row],[BatchMeansHalfWidth]])</f>
        <v>1.4912177574036362E-2</v>
      </c>
    </row>
    <row r="22" spans="1:21" x14ac:dyDescent="0.3">
      <c r="A22" t="s">
        <v>66</v>
      </c>
      <c r="B22" t="s">
        <v>69</v>
      </c>
      <c r="C22">
        <v>5</v>
      </c>
      <c r="D22" t="s">
        <v>70</v>
      </c>
      <c r="E22" t="s">
        <v>81</v>
      </c>
      <c r="F22" t="s">
        <v>72</v>
      </c>
      <c r="G22">
        <v>1.15184477357851</v>
      </c>
      <c r="H22">
        <v>2E+20</v>
      </c>
      <c r="I22">
        <v>0</v>
      </c>
      <c r="J22">
        <v>5</v>
      </c>
      <c r="K22">
        <v>1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15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1.1020792054910398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0.1267802587228237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7.0208567115518081E-2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0.90784484322507997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1.41033627462843</v>
      </c>
      <c r="U22" s="5">
        <f>IF((ContinuousStatsTable[[#This Row],[RepsRequested]]&gt;1),ContinuousStatsTable[[#This Row],[HalfWidth]],ContinuousStatsTable[[#This Row],[BatchMeansHalfWidth]])</f>
        <v>7.0208567115518081E-2</v>
      </c>
    </row>
    <row r="23" spans="1:21" x14ac:dyDescent="0.3">
      <c r="A23" t="s">
        <v>66</v>
      </c>
      <c r="B23" t="s">
        <v>69</v>
      </c>
      <c r="C23">
        <v>5</v>
      </c>
      <c r="D23" t="s">
        <v>82</v>
      </c>
      <c r="E23" t="s">
        <v>83</v>
      </c>
      <c r="F23" t="s">
        <v>84</v>
      </c>
      <c r="G23">
        <v>0.372178956795646</v>
      </c>
      <c r="H23">
        <v>2E+20</v>
      </c>
      <c r="I23">
        <v>0</v>
      </c>
      <c r="J23">
        <v>1</v>
      </c>
      <c r="K23">
        <v>0.33333333333333298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15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0.35538558845326457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3.5995680767676695E-2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1.9933743585200864E-2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0.29520999449618501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0.43628573463419201</v>
      </c>
      <c r="U23" s="5">
        <f>IF((ContinuousStatsTable[[#This Row],[RepsRequested]]&gt;1),ContinuousStatsTable[[#This Row],[HalfWidth]],ContinuousStatsTable[[#This Row],[BatchMeansHalfWidth]])</f>
        <v>1.9933743585200864E-2</v>
      </c>
    </row>
    <row r="24" spans="1:21" x14ac:dyDescent="0.3">
      <c r="A24" t="s">
        <v>66</v>
      </c>
      <c r="B24" t="s">
        <v>69</v>
      </c>
      <c r="C24">
        <v>5</v>
      </c>
      <c r="D24" t="s">
        <v>82</v>
      </c>
      <c r="E24" t="s">
        <v>85</v>
      </c>
      <c r="F24" t="s">
        <v>84</v>
      </c>
      <c r="G24">
        <v>1.1165368703869401</v>
      </c>
      <c r="H24">
        <v>2E+20</v>
      </c>
      <c r="I24">
        <v>0</v>
      </c>
      <c r="J24">
        <v>3</v>
      </c>
      <c r="K24">
        <v>1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15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1.0661567653597936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0.10798704230303055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5.9801230755602848E-2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0.88562998348855504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1.3088572039025801</v>
      </c>
      <c r="U24" s="5">
        <f>IF((ContinuousStatsTable[[#This Row],[RepsRequested]]&gt;1),ContinuousStatsTable[[#This Row],[HalfWidth]],ContinuousStatsTable[[#This Row],[BatchMeansHalfWidth]])</f>
        <v>5.9801230755602848E-2</v>
      </c>
    </row>
    <row r="25" spans="1:21" x14ac:dyDescent="0.3">
      <c r="A25" t="s">
        <v>66</v>
      </c>
      <c r="B25" t="s">
        <v>69</v>
      </c>
      <c r="C25">
        <v>5</v>
      </c>
      <c r="D25" t="s">
        <v>82</v>
      </c>
      <c r="E25" t="s">
        <v>86</v>
      </c>
      <c r="F25" t="s">
        <v>84</v>
      </c>
      <c r="G25">
        <v>3</v>
      </c>
      <c r="H25">
        <v>2E+20</v>
      </c>
      <c r="I25">
        <v>3</v>
      </c>
      <c r="J25">
        <v>3</v>
      </c>
      <c r="K25">
        <v>3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15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3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3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3</v>
      </c>
      <c r="U25" s="5">
        <f>IF((ContinuousStatsTable[[#This Row],[RepsRequested]]&gt;1),ContinuousStatsTable[[#This Row],[HalfWidth]],ContinuousStatsTable[[#This Row],[BatchMeansHalfWidth]])</f>
        <v>0</v>
      </c>
    </row>
    <row r="26" spans="1:21" x14ac:dyDescent="0.3">
      <c r="A26" t="s">
        <v>66</v>
      </c>
      <c r="B26" t="s">
        <v>69</v>
      </c>
      <c r="C26">
        <v>5</v>
      </c>
      <c r="D26" t="s">
        <v>78</v>
      </c>
      <c r="E26" t="s">
        <v>87</v>
      </c>
      <c r="F26" t="s">
        <v>80</v>
      </c>
      <c r="G26">
        <v>3.5307903191573703E-2</v>
      </c>
      <c r="H26">
        <v>2E+20</v>
      </c>
      <c r="I26">
        <v>0</v>
      </c>
      <c r="J26">
        <v>2</v>
      </c>
      <c r="K26">
        <v>0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15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3.5922440131245965E-2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2.6927906502440924E-2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1.4912177574036362E-2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1.73231027184055E-3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0.10147907072585501</v>
      </c>
      <c r="U26" s="5">
        <f>IF((ContinuousStatsTable[[#This Row],[RepsRequested]]&gt;1),ContinuousStatsTable[[#This Row],[HalfWidth]],ContinuousStatsTable[[#This Row],[BatchMeansHalfWidth]])</f>
        <v>1.4912177574036362E-2</v>
      </c>
    </row>
    <row r="27" spans="1:21" x14ac:dyDescent="0.3">
      <c r="A27" t="s">
        <v>66</v>
      </c>
      <c r="B27" t="s">
        <v>69</v>
      </c>
      <c r="C27">
        <v>6</v>
      </c>
      <c r="D27" t="s">
        <v>70</v>
      </c>
      <c r="E27" t="s">
        <v>81</v>
      </c>
      <c r="F27" t="s">
        <v>72</v>
      </c>
      <c r="G27">
        <v>1.19951078180571</v>
      </c>
      <c r="H27">
        <v>2E+20</v>
      </c>
      <c r="I27">
        <v>0</v>
      </c>
      <c r="J27">
        <v>7</v>
      </c>
      <c r="K27">
        <v>0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15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1.1020792054910398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0.1267802587228237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7.0208567115518081E-2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0.90784484322507997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1.41033627462843</v>
      </c>
      <c r="U27" s="5">
        <f>IF((ContinuousStatsTable[[#This Row],[RepsRequested]]&gt;1),ContinuousStatsTable[[#This Row],[HalfWidth]],ContinuousStatsTable[[#This Row],[BatchMeansHalfWidth]])</f>
        <v>7.0208567115518081E-2</v>
      </c>
    </row>
    <row r="28" spans="1:21" x14ac:dyDescent="0.3">
      <c r="A28" t="s">
        <v>66</v>
      </c>
      <c r="B28" t="s">
        <v>69</v>
      </c>
      <c r="C28">
        <v>6</v>
      </c>
      <c r="D28" t="s">
        <v>82</v>
      </c>
      <c r="E28" t="s">
        <v>83</v>
      </c>
      <c r="F28" t="s">
        <v>84</v>
      </c>
      <c r="G28">
        <v>0.370655125955555</v>
      </c>
      <c r="H28">
        <v>2E+20</v>
      </c>
      <c r="I28">
        <v>0</v>
      </c>
      <c r="J28">
        <v>1</v>
      </c>
      <c r="K28">
        <v>0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15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0.35538558845326457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3.5995680767676695E-2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1.9933743585200864E-2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0.29520999449618501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0.43628573463419201</v>
      </c>
      <c r="U28" s="5">
        <f>IF((ContinuousStatsTable[[#This Row],[RepsRequested]]&gt;1),ContinuousStatsTable[[#This Row],[HalfWidth]],ContinuousStatsTable[[#This Row],[BatchMeansHalfWidth]])</f>
        <v>1.9933743585200864E-2</v>
      </c>
    </row>
    <row r="29" spans="1:21" x14ac:dyDescent="0.3">
      <c r="A29" t="s">
        <v>66</v>
      </c>
      <c r="B29" t="s">
        <v>69</v>
      </c>
      <c r="C29">
        <v>6</v>
      </c>
      <c r="D29" t="s">
        <v>82</v>
      </c>
      <c r="E29" t="s">
        <v>85</v>
      </c>
      <c r="F29" t="s">
        <v>84</v>
      </c>
      <c r="G29">
        <v>1.11196537786667</v>
      </c>
      <c r="H29">
        <v>2E+20</v>
      </c>
      <c r="I29">
        <v>0</v>
      </c>
      <c r="J29">
        <v>3</v>
      </c>
      <c r="K29">
        <v>0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15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1.0661567653597936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0.10798704230303055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5.9801230755602848E-2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0.88562998348855504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1.3088572039025801</v>
      </c>
      <c r="U29" s="5">
        <f>IF((ContinuousStatsTable[[#This Row],[RepsRequested]]&gt;1),ContinuousStatsTable[[#This Row],[HalfWidth]],ContinuousStatsTable[[#This Row],[BatchMeansHalfWidth]])</f>
        <v>5.9801230755602848E-2</v>
      </c>
    </row>
    <row r="30" spans="1:21" x14ac:dyDescent="0.3">
      <c r="A30" t="s">
        <v>66</v>
      </c>
      <c r="B30" t="s">
        <v>69</v>
      </c>
      <c r="C30">
        <v>6</v>
      </c>
      <c r="D30" t="s">
        <v>82</v>
      </c>
      <c r="E30" t="s">
        <v>86</v>
      </c>
      <c r="F30" t="s">
        <v>84</v>
      </c>
      <c r="G30">
        <v>3</v>
      </c>
      <c r="H30">
        <v>2E+20</v>
      </c>
      <c r="I30">
        <v>3</v>
      </c>
      <c r="J30">
        <v>3</v>
      </c>
      <c r="K30">
        <v>3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15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3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3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3</v>
      </c>
      <c r="U30" s="5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69</v>
      </c>
      <c r="C31">
        <v>6</v>
      </c>
      <c r="D31" t="s">
        <v>78</v>
      </c>
      <c r="E31" t="s">
        <v>87</v>
      </c>
      <c r="F31" t="s">
        <v>80</v>
      </c>
      <c r="G31">
        <v>8.7545403939046196E-2</v>
      </c>
      <c r="H31">
        <v>2E+20</v>
      </c>
      <c r="I31">
        <v>0</v>
      </c>
      <c r="J31">
        <v>4</v>
      </c>
      <c r="K31">
        <v>0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15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3.5922440131245965E-2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2.6927906502440924E-2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1.4912177574036362E-2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1.73231027184055E-3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0.10147907072585501</v>
      </c>
      <c r="U31" s="5">
        <f>IF((ContinuousStatsTable[[#This Row],[RepsRequested]]&gt;1),ContinuousStatsTable[[#This Row],[HalfWidth]],ContinuousStatsTable[[#This Row],[BatchMeansHalfWidth]])</f>
        <v>1.4912177574036362E-2</v>
      </c>
    </row>
    <row r="32" spans="1:21" x14ac:dyDescent="0.3">
      <c r="A32" t="s">
        <v>66</v>
      </c>
      <c r="B32" t="s">
        <v>69</v>
      </c>
      <c r="C32">
        <v>7</v>
      </c>
      <c r="D32" t="s">
        <v>70</v>
      </c>
      <c r="E32" t="s">
        <v>81</v>
      </c>
      <c r="F32" t="s">
        <v>72</v>
      </c>
      <c r="G32">
        <v>1.1208592860647699</v>
      </c>
      <c r="H32">
        <v>2E+20</v>
      </c>
      <c r="I32">
        <v>0</v>
      </c>
      <c r="J32">
        <v>4</v>
      </c>
      <c r="K32">
        <v>0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15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1.1020792054910398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0.1267802587228237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7.0208567115518081E-2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0.90784484322507997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1.41033627462843</v>
      </c>
      <c r="U32" s="5">
        <f>IF((ContinuousStatsTable[[#This Row],[RepsRequested]]&gt;1),ContinuousStatsTable[[#This Row],[HalfWidth]],ContinuousStatsTable[[#This Row],[BatchMeansHalfWidth]])</f>
        <v>7.0208567115518081E-2</v>
      </c>
    </row>
    <row r="33" spans="1:21" x14ac:dyDescent="0.3">
      <c r="A33" t="s">
        <v>66</v>
      </c>
      <c r="B33" t="s">
        <v>69</v>
      </c>
      <c r="C33">
        <v>7</v>
      </c>
      <c r="D33" t="s">
        <v>82</v>
      </c>
      <c r="E33" t="s">
        <v>83</v>
      </c>
      <c r="F33" t="s">
        <v>84</v>
      </c>
      <c r="G33">
        <v>0.372030054993295</v>
      </c>
      <c r="H33">
        <v>2E+20</v>
      </c>
      <c r="I33">
        <v>0</v>
      </c>
      <c r="J33">
        <v>1</v>
      </c>
      <c r="K33">
        <v>0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15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0.35538558845326457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3.5995680767676695E-2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1.9933743585200864E-2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0.29520999449618501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0.43628573463419201</v>
      </c>
      <c r="U33" s="5">
        <f>IF((ContinuousStatsTable[[#This Row],[RepsRequested]]&gt;1),ContinuousStatsTable[[#This Row],[HalfWidth]],ContinuousStatsTable[[#This Row],[BatchMeansHalfWidth]])</f>
        <v>1.9933743585200864E-2</v>
      </c>
    </row>
    <row r="34" spans="1:21" x14ac:dyDescent="0.3">
      <c r="A34" t="s">
        <v>66</v>
      </c>
      <c r="B34" t="s">
        <v>69</v>
      </c>
      <c r="C34">
        <v>7</v>
      </c>
      <c r="D34" t="s">
        <v>82</v>
      </c>
      <c r="E34" t="s">
        <v>85</v>
      </c>
      <c r="F34" t="s">
        <v>84</v>
      </c>
      <c r="G34">
        <v>1.11609016497988</v>
      </c>
      <c r="H34">
        <v>2E+20</v>
      </c>
      <c r="I34">
        <v>0</v>
      </c>
      <c r="J34">
        <v>3</v>
      </c>
      <c r="K34">
        <v>0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15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1.0661567653597936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0.10798704230303055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5.9801230755602848E-2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0.88562998348855504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1.3088572039025801</v>
      </c>
      <c r="U34" s="5">
        <f>IF((ContinuousStatsTable[[#This Row],[RepsRequested]]&gt;1),ContinuousStatsTable[[#This Row],[HalfWidth]],ContinuousStatsTable[[#This Row],[BatchMeansHalfWidth]])</f>
        <v>5.9801230755602848E-2</v>
      </c>
    </row>
    <row r="35" spans="1:21" x14ac:dyDescent="0.3">
      <c r="A35" t="s">
        <v>66</v>
      </c>
      <c r="B35" t="s">
        <v>69</v>
      </c>
      <c r="C35">
        <v>7</v>
      </c>
      <c r="D35" t="s">
        <v>82</v>
      </c>
      <c r="E35" t="s">
        <v>86</v>
      </c>
      <c r="F35" t="s">
        <v>84</v>
      </c>
      <c r="G35">
        <v>3</v>
      </c>
      <c r="H35">
        <v>2E+20</v>
      </c>
      <c r="I35">
        <v>3</v>
      </c>
      <c r="J35">
        <v>3</v>
      </c>
      <c r="K35">
        <v>3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15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3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3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3</v>
      </c>
      <c r="U35" s="5">
        <f>IF((ContinuousStatsTable[[#This Row],[RepsRequested]]&gt;1),ContinuousStatsTable[[#This Row],[HalfWidth]],ContinuousStatsTable[[#This Row],[BatchMeansHalfWidth]])</f>
        <v>0</v>
      </c>
    </row>
    <row r="36" spans="1:21" x14ac:dyDescent="0.3">
      <c r="A36" t="s">
        <v>66</v>
      </c>
      <c r="B36" t="s">
        <v>69</v>
      </c>
      <c r="C36">
        <v>7</v>
      </c>
      <c r="D36" t="s">
        <v>78</v>
      </c>
      <c r="E36" t="s">
        <v>87</v>
      </c>
      <c r="F36" t="s">
        <v>80</v>
      </c>
      <c r="G36">
        <v>4.7691210848848599E-3</v>
      </c>
      <c r="H36">
        <v>2E+20</v>
      </c>
      <c r="I36">
        <v>0</v>
      </c>
      <c r="J36">
        <v>1</v>
      </c>
      <c r="K36">
        <v>0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15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3.5922440131245965E-2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2.6927906502440924E-2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1.4912177574036362E-2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1.73231027184055E-3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0.10147907072585501</v>
      </c>
      <c r="U36" s="5">
        <f>IF((ContinuousStatsTable[[#This Row],[RepsRequested]]&gt;1),ContinuousStatsTable[[#This Row],[HalfWidth]],ContinuousStatsTable[[#This Row],[BatchMeansHalfWidth]])</f>
        <v>1.4912177574036362E-2</v>
      </c>
    </row>
    <row r="37" spans="1:21" x14ac:dyDescent="0.3">
      <c r="A37" t="s">
        <v>66</v>
      </c>
      <c r="B37" t="s">
        <v>69</v>
      </c>
      <c r="C37">
        <v>8</v>
      </c>
      <c r="D37" t="s">
        <v>70</v>
      </c>
      <c r="E37" t="s">
        <v>81</v>
      </c>
      <c r="F37" t="s">
        <v>72</v>
      </c>
      <c r="G37">
        <v>0.94616912553697696</v>
      </c>
      <c r="H37">
        <v>2E+20</v>
      </c>
      <c r="I37">
        <v>0</v>
      </c>
      <c r="J37">
        <v>4</v>
      </c>
      <c r="K37">
        <v>1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15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1.1020792054910398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0.1267802587228237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7.0208567115518081E-2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0.90784484322507997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1.41033627462843</v>
      </c>
      <c r="U37" s="5">
        <f>IF((ContinuousStatsTable[[#This Row],[RepsRequested]]&gt;1),ContinuousStatsTable[[#This Row],[HalfWidth]],ContinuousStatsTable[[#This Row],[BatchMeansHalfWidth]])</f>
        <v>7.0208567115518081E-2</v>
      </c>
    </row>
    <row r="38" spans="1:21" x14ac:dyDescent="0.3">
      <c r="A38" t="s">
        <v>66</v>
      </c>
      <c r="B38" t="s">
        <v>69</v>
      </c>
      <c r="C38">
        <v>8</v>
      </c>
      <c r="D38" t="s">
        <v>82</v>
      </c>
      <c r="E38" t="s">
        <v>83</v>
      </c>
      <c r="F38" t="s">
        <v>84</v>
      </c>
      <c r="G38">
        <v>0.314812271755046</v>
      </c>
      <c r="H38">
        <v>2E+20</v>
      </c>
      <c r="I38">
        <v>0</v>
      </c>
      <c r="J38">
        <v>1</v>
      </c>
      <c r="K38">
        <v>0.33333333333333298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15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0.35538558845326457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3.5995680767676695E-2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1.9933743585200864E-2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0.29520999449618501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0.43628573463419201</v>
      </c>
      <c r="U38" s="5">
        <f>IF((ContinuousStatsTable[[#This Row],[RepsRequested]]&gt;1),ContinuousStatsTable[[#This Row],[HalfWidth]],ContinuousStatsTable[[#This Row],[BatchMeansHalfWidth]])</f>
        <v>1.9933743585200864E-2</v>
      </c>
    </row>
    <row r="39" spans="1:21" x14ac:dyDescent="0.3">
      <c r="A39" t="s">
        <v>66</v>
      </c>
      <c r="B39" t="s">
        <v>69</v>
      </c>
      <c r="C39">
        <v>8</v>
      </c>
      <c r="D39" t="s">
        <v>82</v>
      </c>
      <c r="E39" t="s">
        <v>85</v>
      </c>
      <c r="F39" t="s">
        <v>84</v>
      </c>
      <c r="G39">
        <v>0.94443681526513601</v>
      </c>
      <c r="H39">
        <v>2E+20</v>
      </c>
      <c r="I39">
        <v>0</v>
      </c>
      <c r="J39">
        <v>3</v>
      </c>
      <c r="K39">
        <v>1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15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1.0661567653597936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0.10798704230303055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5.9801230755602848E-2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0.88562998348855504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1.3088572039025801</v>
      </c>
      <c r="U39" s="5">
        <f>IF((ContinuousStatsTable[[#This Row],[RepsRequested]]&gt;1),ContinuousStatsTable[[#This Row],[HalfWidth]],ContinuousStatsTable[[#This Row],[BatchMeansHalfWidth]])</f>
        <v>5.9801230755602848E-2</v>
      </c>
    </row>
    <row r="40" spans="1:21" x14ac:dyDescent="0.3">
      <c r="A40" t="s">
        <v>66</v>
      </c>
      <c r="B40" t="s">
        <v>69</v>
      </c>
      <c r="C40">
        <v>8</v>
      </c>
      <c r="D40" t="s">
        <v>82</v>
      </c>
      <c r="E40" t="s">
        <v>86</v>
      </c>
      <c r="F40" t="s">
        <v>84</v>
      </c>
      <c r="G40">
        <v>3</v>
      </c>
      <c r="H40">
        <v>2E+20</v>
      </c>
      <c r="I40">
        <v>3</v>
      </c>
      <c r="J40">
        <v>3</v>
      </c>
      <c r="K40">
        <v>3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15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3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3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3</v>
      </c>
      <c r="U40" s="5">
        <f>IF((ContinuousStatsTable[[#This Row],[RepsRequested]]&gt;1),ContinuousStatsTable[[#This Row],[HalfWidth]],ContinuousStatsTable[[#This Row],[BatchMeansHalfWidth]])</f>
        <v>0</v>
      </c>
    </row>
    <row r="41" spans="1:21" x14ac:dyDescent="0.3">
      <c r="A41" t="s">
        <v>66</v>
      </c>
      <c r="B41" t="s">
        <v>69</v>
      </c>
      <c r="C41">
        <v>8</v>
      </c>
      <c r="D41" t="s">
        <v>78</v>
      </c>
      <c r="E41" t="s">
        <v>87</v>
      </c>
      <c r="F41" t="s">
        <v>80</v>
      </c>
      <c r="G41">
        <v>1.73231027184055E-3</v>
      </c>
      <c r="H41">
        <v>2E+20</v>
      </c>
      <c r="I41">
        <v>0</v>
      </c>
      <c r="J41">
        <v>1</v>
      </c>
      <c r="K41">
        <v>0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15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3.5922440131245965E-2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2.6927906502440924E-2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1.4912177574036362E-2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1.73231027184055E-3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0.10147907072585501</v>
      </c>
      <c r="U41" s="5">
        <f>IF((ContinuousStatsTable[[#This Row],[RepsRequested]]&gt;1),ContinuousStatsTable[[#This Row],[HalfWidth]],ContinuousStatsTable[[#This Row],[BatchMeansHalfWidth]])</f>
        <v>1.4912177574036362E-2</v>
      </c>
    </row>
    <row r="42" spans="1:21" x14ac:dyDescent="0.3">
      <c r="A42" t="s">
        <v>66</v>
      </c>
      <c r="B42" t="s">
        <v>69</v>
      </c>
      <c r="C42">
        <v>9</v>
      </c>
      <c r="D42" t="s">
        <v>70</v>
      </c>
      <c r="E42" t="s">
        <v>81</v>
      </c>
      <c r="F42" t="s">
        <v>72</v>
      </c>
      <c r="G42">
        <v>1.05617897015186</v>
      </c>
      <c r="H42">
        <v>2E+20</v>
      </c>
      <c r="I42">
        <v>0</v>
      </c>
      <c r="J42">
        <v>5</v>
      </c>
      <c r="K42">
        <v>1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15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1.1020792054910398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0.1267802587228237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7.0208567115518081E-2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0.90784484322507997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1.41033627462843</v>
      </c>
      <c r="U42" s="5">
        <f>IF((ContinuousStatsTable[[#This Row],[RepsRequested]]&gt;1),ContinuousStatsTable[[#This Row],[HalfWidth]],ContinuousStatsTable[[#This Row],[BatchMeansHalfWidth]])</f>
        <v>7.0208567115518081E-2</v>
      </c>
    </row>
    <row r="43" spans="1:21" x14ac:dyDescent="0.3">
      <c r="A43" t="s">
        <v>66</v>
      </c>
      <c r="B43" t="s">
        <v>69</v>
      </c>
      <c r="C43">
        <v>9</v>
      </c>
      <c r="D43" t="s">
        <v>82</v>
      </c>
      <c r="E43" t="s">
        <v>83</v>
      </c>
      <c r="F43" t="s">
        <v>84</v>
      </c>
      <c r="G43">
        <v>0.34665642788115703</v>
      </c>
      <c r="H43">
        <v>2E+20</v>
      </c>
      <c r="I43">
        <v>0</v>
      </c>
      <c r="J43">
        <v>1</v>
      </c>
      <c r="K43">
        <v>0.33333333333333298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15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0.35538558845326457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3.5995680767676695E-2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1.9933743585200864E-2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0.29520999449618501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0.43628573463419201</v>
      </c>
      <c r="U43" s="5">
        <f>IF((ContinuousStatsTable[[#This Row],[RepsRequested]]&gt;1),ContinuousStatsTable[[#This Row],[HalfWidth]],ContinuousStatsTable[[#This Row],[BatchMeansHalfWidth]])</f>
        <v>1.9933743585200864E-2</v>
      </c>
    </row>
    <row r="44" spans="1:21" x14ac:dyDescent="0.3">
      <c r="A44" t="s">
        <v>66</v>
      </c>
      <c r="B44" t="s">
        <v>69</v>
      </c>
      <c r="C44">
        <v>9</v>
      </c>
      <c r="D44" t="s">
        <v>82</v>
      </c>
      <c r="E44" t="s">
        <v>85</v>
      </c>
      <c r="F44" t="s">
        <v>84</v>
      </c>
      <c r="G44">
        <v>1.03996928364347</v>
      </c>
      <c r="H44">
        <v>2E+20</v>
      </c>
      <c r="I44">
        <v>0</v>
      </c>
      <c r="J44">
        <v>3</v>
      </c>
      <c r="K44">
        <v>1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15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1.0661567653597936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0.10798704230303055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5.9801230755602848E-2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0.88562998348855504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1.3088572039025801</v>
      </c>
      <c r="U44" s="5">
        <f>IF((ContinuousStatsTable[[#This Row],[RepsRequested]]&gt;1),ContinuousStatsTable[[#This Row],[HalfWidth]],ContinuousStatsTable[[#This Row],[BatchMeansHalfWidth]])</f>
        <v>5.9801230755602848E-2</v>
      </c>
    </row>
    <row r="45" spans="1:21" x14ac:dyDescent="0.3">
      <c r="A45" t="s">
        <v>66</v>
      </c>
      <c r="B45" t="s">
        <v>69</v>
      </c>
      <c r="C45">
        <v>9</v>
      </c>
      <c r="D45" t="s">
        <v>82</v>
      </c>
      <c r="E45" t="s">
        <v>86</v>
      </c>
      <c r="F45" t="s">
        <v>84</v>
      </c>
      <c r="G45">
        <v>3</v>
      </c>
      <c r="H45">
        <v>2E+20</v>
      </c>
      <c r="I45">
        <v>3</v>
      </c>
      <c r="J45">
        <v>3</v>
      </c>
      <c r="K45">
        <v>3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15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3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3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3</v>
      </c>
      <c r="U45" s="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69</v>
      </c>
      <c r="C46">
        <v>9</v>
      </c>
      <c r="D46" t="s">
        <v>78</v>
      </c>
      <c r="E46" t="s">
        <v>87</v>
      </c>
      <c r="F46" t="s">
        <v>80</v>
      </c>
      <c r="G46">
        <v>1.62096865083841E-2</v>
      </c>
      <c r="H46">
        <v>2E+20</v>
      </c>
      <c r="I46">
        <v>0</v>
      </c>
      <c r="J46">
        <v>2</v>
      </c>
      <c r="K46">
        <v>0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15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3.5922440131245965E-2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2.6927906502440924E-2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1.4912177574036362E-2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1.73231027184055E-3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0.10147907072585501</v>
      </c>
      <c r="U46" s="5">
        <f>IF((ContinuousStatsTable[[#This Row],[RepsRequested]]&gt;1),ContinuousStatsTable[[#This Row],[HalfWidth]],ContinuousStatsTable[[#This Row],[BatchMeansHalfWidth]])</f>
        <v>1.4912177574036362E-2</v>
      </c>
    </row>
    <row r="47" spans="1:21" x14ac:dyDescent="0.3">
      <c r="A47" t="s">
        <v>66</v>
      </c>
      <c r="B47" t="s">
        <v>69</v>
      </c>
      <c r="C47">
        <v>10</v>
      </c>
      <c r="D47" t="s">
        <v>70</v>
      </c>
      <c r="E47" t="s">
        <v>81</v>
      </c>
      <c r="F47" t="s">
        <v>72</v>
      </c>
      <c r="G47">
        <v>0.90784484322507997</v>
      </c>
      <c r="H47">
        <v>2E+20</v>
      </c>
      <c r="I47">
        <v>0</v>
      </c>
      <c r="J47">
        <v>5</v>
      </c>
      <c r="K47">
        <v>2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15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1.1020792054910398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0.1267802587228237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7.0208567115518081E-2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0.90784484322507997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1.41033627462843</v>
      </c>
      <c r="U47" s="5">
        <f>IF((ContinuousStatsTable[[#This Row],[RepsRequested]]&gt;1),ContinuousStatsTable[[#This Row],[HalfWidth]],ContinuousStatsTable[[#This Row],[BatchMeansHalfWidth]])</f>
        <v>7.0208567115518081E-2</v>
      </c>
    </row>
    <row r="48" spans="1:21" x14ac:dyDescent="0.3">
      <c r="A48" t="s">
        <v>66</v>
      </c>
      <c r="B48" t="s">
        <v>69</v>
      </c>
      <c r="C48">
        <v>10</v>
      </c>
      <c r="D48" t="s">
        <v>82</v>
      </c>
      <c r="E48" t="s">
        <v>83</v>
      </c>
      <c r="F48" t="s">
        <v>84</v>
      </c>
      <c r="G48">
        <v>0.29520999449618501</v>
      </c>
      <c r="H48">
        <v>2E+20</v>
      </c>
      <c r="I48">
        <v>0</v>
      </c>
      <c r="J48">
        <v>1</v>
      </c>
      <c r="K48">
        <v>0.66666666666666696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15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0.35538558845326457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3.5995680767676695E-2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1.9933743585200864E-2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0.29520999449618501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0.43628573463419201</v>
      </c>
      <c r="U48" s="5">
        <f>IF((ContinuousStatsTable[[#This Row],[RepsRequested]]&gt;1),ContinuousStatsTable[[#This Row],[HalfWidth]],ContinuousStatsTable[[#This Row],[BatchMeansHalfWidth]])</f>
        <v>1.9933743585200864E-2</v>
      </c>
    </row>
    <row r="49" spans="1:21" x14ac:dyDescent="0.3">
      <c r="A49" t="s">
        <v>66</v>
      </c>
      <c r="B49" t="s">
        <v>69</v>
      </c>
      <c r="C49">
        <v>10</v>
      </c>
      <c r="D49" t="s">
        <v>82</v>
      </c>
      <c r="E49" t="s">
        <v>85</v>
      </c>
      <c r="F49" t="s">
        <v>84</v>
      </c>
      <c r="G49">
        <v>0.88562998348855504</v>
      </c>
      <c r="H49">
        <v>2E+20</v>
      </c>
      <c r="I49">
        <v>0</v>
      </c>
      <c r="J49">
        <v>3</v>
      </c>
      <c r="K49">
        <v>2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15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1.0661567653597936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0.10798704230303055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5.9801230755602848E-2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0.88562998348855504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1.3088572039025801</v>
      </c>
      <c r="U49" s="5">
        <f>IF((ContinuousStatsTable[[#This Row],[RepsRequested]]&gt;1),ContinuousStatsTable[[#This Row],[HalfWidth]],ContinuousStatsTable[[#This Row],[BatchMeansHalfWidth]])</f>
        <v>5.9801230755602848E-2</v>
      </c>
    </row>
    <row r="50" spans="1:21" x14ac:dyDescent="0.3">
      <c r="A50" t="s">
        <v>66</v>
      </c>
      <c r="B50" t="s">
        <v>69</v>
      </c>
      <c r="C50">
        <v>10</v>
      </c>
      <c r="D50" t="s">
        <v>82</v>
      </c>
      <c r="E50" t="s">
        <v>86</v>
      </c>
      <c r="F50" t="s">
        <v>84</v>
      </c>
      <c r="G50">
        <v>3</v>
      </c>
      <c r="H50">
        <v>2E+20</v>
      </c>
      <c r="I50">
        <v>3</v>
      </c>
      <c r="J50">
        <v>3</v>
      </c>
      <c r="K50">
        <v>3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15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3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3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3</v>
      </c>
      <c r="U50" s="5">
        <f>IF((ContinuousStatsTable[[#This Row],[RepsRequested]]&gt;1),ContinuousStatsTable[[#This Row],[HalfWidth]],ContinuousStatsTable[[#This Row],[BatchMeansHalfWidth]])</f>
        <v>0</v>
      </c>
    </row>
    <row r="51" spans="1:21" x14ac:dyDescent="0.3">
      <c r="A51" t="s">
        <v>66</v>
      </c>
      <c r="B51" t="s">
        <v>69</v>
      </c>
      <c r="C51">
        <v>10</v>
      </c>
      <c r="D51" t="s">
        <v>78</v>
      </c>
      <c r="E51" t="s">
        <v>87</v>
      </c>
      <c r="F51" t="s">
        <v>80</v>
      </c>
      <c r="G51">
        <v>2.2214859736524699E-2</v>
      </c>
      <c r="H51">
        <v>2E+20</v>
      </c>
      <c r="I51">
        <v>0</v>
      </c>
      <c r="J51">
        <v>2</v>
      </c>
      <c r="K51">
        <v>0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15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3.5922440131245965E-2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2.6927906502440924E-2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1.4912177574036362E-2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1.73231027184055E-3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0.10147907072585501</v>
      </c>
      <c r="U51" s="5">
        <f>IF((ContinuousStatsTable[[#This Row],[RepsRequested]]&gt;1),ContinuousStatsTable[[#This Row],[HalfWidth]],ContinuousStatsTable[[#This Row],[BatchMeansHalfWidth]])</f>
        <v>1.4912177574036362E-2</v>
      </c>
    </row>
    <row r="52" spans="1:21" x14ac:dyDescent="0.3">
      <c r="A52" t="s">
        <v>66</v>
      </c>
      <c r="B52" t="s">
        <v>69</v>
      </c>
      <c r="C52">
        <v>11</v>
      </c>
      <c r="D52" t="s">
        <v>70</v>
      </c>
      <c r="E52" t="s">
        <v>81</v>
      </c>
      <c r="F52" t="s">
        <v>72</v>
      </c>
      <c r="G52">
        <v>1.11726710430828</v>
      </c>
      <c r="H52">
        <v>2E+20</v>
      </c>
      <c r="I52">
        <v>0</v>
      </c>
      <c r="J52">
        <v>5</v>
      </c>
      <c r="K52">
        <v>3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15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1.1020792054910398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0.1267802587228237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7.0208567115518081E-2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0.90784484322507997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1.41033627462843</v>
      </c>
      <c r="U52" s="5">
        <f>IF((ContinuousStatsTable[[#This Row],[RepsRequested]]&gt;1),ContinuousStatsTable[[#This Row],[HalfWidth]],ContinuousStatsTable[[#This Row],[BatchMeansHalfWidth]])</f>
        <v>7.0208567115518081E-2</v>
      </c>
    </row>
    <row r="53" spans="1:21" x14ac:dyDescent="0.3">
      <c r="A53" t="s">
        <v>66</v>
      </c>
      <c r="B53" t="s">
        <v>69</v>
      </c>
      <c r="C53">
        <v>11</v>
      </c>
      <c r="D53" t="s">
        <v>82</v>
      </c>
      <c r="E53" t="s">
        <v>83</v>
      </c>
      <c r="F53" t="s">
        <v>84</v>
      </c>
      <c r="G53">
        <v>0.36224787211192699</v>
      </c>
      <c r="H53">
        <v>2E+20</v>
      </c>
      <c r="I53">
        <v>0</v>
      </c>
      <c r="J53">
        <v>1</v>
      </c>
      <c r="K53">
        <v>1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15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0.35538558845326457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3.5995680767676695E-2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1.9933743585200864E-2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0.29520999449618501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0.43628573463419201</v>
      </c>
      <c r="U53" s="5">
        <f>IF((ContinuousStatsTable[[#This Row],[RepsRequested]]&gt;1),ContinuousStatsTable[[#This Row],[HalfWidth]],ContinuousStatsTable[[#This Row],[BatchMeansHalfWidth]])</f>
        <v>1.9933743585200864E-2</v>
      </c>
    </row>
    <row r="54" spans="1:21" x14ac:dyDescent="0.3">
      <c r="A54" t="s">
        <v>66</v>
      </c>
      <c r="B54" t="s">
        <v>69</v>
      </c>
      <c r="C54">
        <v>11</v>
      </c>
      <c r="D54" t="s">
        <v>82</v>
      </c>
      <c r="E54" t="s">
        <v>85</v>
      </c>
      <c r="F54" t="s">
        <v>84</v>
      </c>
      <c r="G54">
        <v>1.08674361633578</v>
      </c>
      <c r="H54">
        <v>2E+20</v>
      </c>
      <c r="I54">
        <v>0</v>
      </c>
      <c r="J54">
        <v>3</v>
      </c>
      <c r="K54">
        <v>3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54" s="5" cm="1">
        <f t="array" ref="N54">MAX(IF((ProjectInfoTable[ProjectName]=ContinuousStatsTable[[#This Row],[ProjectName]]),(ProjectInfoTable[ProjectName]=ContinuousStatsTable[[#This Row],[ProjectName]])*ProjectInfoTable[NumberOfReplications]))</f>
        <v>15</v>
      </c>
      <c r="O54" s="5" cm="1">
        <f t="array" ref="O54">IFERROR(AVERAGE(IF((ContinuousStatsTable[GroupByKey]=ContinuousStatsTable[[#This Row],[GroupByKey]]),(ContinuousStatsTable[GroupByKey]=ContinuousStatsTable[[#This Row],[GroupByKey]])*ContinuousStatsTable[Average])),0)</f>
        <v>1.0661567653597936</v>
      </c>
      <c r="P54" s="5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0.10798704230303055</v>
      </c>
      <c r="Q54" s="5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5.9801230755602848E-2</v>
      </c>
      <c r="S54" s="5" cm="1">
        <f t="array" ref="S54">MIN(IF((ContinuousStatsTable[GroupByKey]=ContinuousStatsTable[[#This Row],[GroupByKey]]),(ContinuousStatsTable[GroupByKey]=ContinuousStatsTable[[#This Row],[GroupByKey]])*ContinuousStatsTable[Average]))</f>
        <v>0.88562998348855504</v>
      </c>
      <c r="T54" s="5" cm="1">
        <f t="array" ref="T54">MAX(IF((ContinuousStatsTable[GroupByKey]=ContinuousStatsTable[[#This Row],[GroupByKey]]),(ContinuousStatsTable[GroupByKey]=ContinuousStatsTable[[#This Row],[GroupByKey]])*ContinuousStatsTable[Average]))</f>
        <v>1.3088572039025801</v>
      </c>
      <c r="U54" s="5">
        <f>IF((ContinuousStatsTable[[#This Row],[RepsRequested]]&gt;1),ContinuousStatsTable[[#This Row],[HalfWidth]],ContinuousStatsTable[[#This Row],[BatchMeansHalfWidth]])</f>
        <v>5.9801230755602848E-2</v>
      </c>
    </row>
    <row r="55" spans="1:21" x14ac:dyDescent="0.3">
      <c r="A55" t="s">
        <v>66</v>
      </c>
      <c r="B55" t="s">
        <v>69</v>
      </c>
      <c r="C55">
        <v>11</v>
      </c>
      <c r="D55" t="s">
        <v>82</v>
      </c>
      <c r="E55" t="s">
        <v>86</v>
      </c>
      <c r="F55" t="s">
        <v>84</v>
      </c>
      <c r="G55">
        <v>3</v>
      </c>
      <c r="H55">
        <v>2E+20</v>
      </c>
      <c r="I55">
        <v>3</v>
      </c>
      <c r="J55">
        <v>3</v>
      </c>
      <c r="K55">
        <v>3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55" s="5" cm="1">
        <f t="array" ref="N55">MAX(IF((ProjectInfoTable[ProjectName]=ContinuousStatsTable[[#This Row],[ProjectName]]),(ProjectInfoTable[ProjectName]=ContinuousStatsTable[[#This Row],[ProjectName]])*ProjectInfoTable[NumberOfReplications]))</f>
        <v>15</v>
      </c>
      <c r="O55" s="5" cm="1">
        <f t="array" ref="O55">IFERROR(AVERAGE(IF((ContinuousStatsTable[GroupByKey]=ContinuousStatsTable[[#This Row],[GroupByKey]]),(ContinuousStatsTable[GroupByKey]=ContinuousStatsTable[[#This Row],[GroupByKey]])*ContinuousStatsTable[Average])),0)</f>
        <v>3</v>
      </c>
      <c r="P55" s="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s="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s="5" cm="1">
        <f t="array" ref="S55">MIN(IF((ContinuousStatsTable[GroupByKey]=ContinuousStatsTable[[#This Row],[GroupByKey]]),(ContinuousStatsTable[GroupByKey]=ContinuousStatsTable[[#This Row],[GroupByKey]])*ContinuousStatsTable[Average]))</f>
        <v>3</v>
      </c>
      <c r="T55" s="5" cm="1">
        <f t="array" ref="T55">MAX(IF((ContinuousStatsTable[GroupByKey]=ContinuousStatsTable[[#This Row],[GroupByKey]]),(ContinuousStatsTable[GroupByKey]=ContinuousStatsTable[[#This Row],[GroupByKey]])*ContinuousStatsTable[Average]))</f>
        <v>3</v>
      </c>
      <c r="U55" s="5">
        <f>IF((ContinuousStatsTable[[#This Row],[RepsRequested]]&gt;1),ContinuousStatsTable[[#This Row],[HalfWidth]],ContinuousStatsTable[[#This Row],[BatchMeansHalfWidth]])</f>
        <v>0</v>
      </c>
    </row>
    <row r="56" spans="1:21" x14ac:dyDescent="0.3">
      <c r="A56" t="s">
        <v>66</v>
      </c>
      <c r="B56" t="s">
        <v>69</v>
      </c>
      <c r="C56">
        <v>11</v>
      </c>
      <c r="D56" t="s">
        <v>78</v>
      </c>
      <c r="E56" t="s">
        <v>87</v>
      </c>
      <c r="F56" t="s">
        <v>80</v>
      </c>
      <c r="G56">
        <v>3.0523487972493601E-2</v>
      </c>
      <c r="H56">
        <v>2E+20</v>
      </c>
      <c r="I56">
        <v>0</v>
      </c>
      <c r="J56">
        <v>2</v>
      </c>
      <c r="K56">
        <v>0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56" s="5" cm="1">
        <f t="array" ref="N56">MAX(IF((ProjectInfoTable[ProjectName]=ContinuousStatsTable[[#This Row],[ProjectName]]),(ProjectInfoTable[ProjectName]=ContinuousStatsTable[[#This Row],[ProjectName]])*ProjectInfoTable[NumberOfReplications]))</f>
        <v>15</v>
      </c>
      <c r="O56" s="5" cm="1">
        <f t="array" ref="O56">IFERROR(AVERAGE(IF((ContinuousStatsTable[GroupByKey]=ContinuousStatsTable[[#This Row],[GroupByKey]]),(ContinuousStatsTable[GroupByKey]=ContinuousStatsTable[[#This Row],[GroupByKey]])*ContinuousStatsTable[Average])),0)</f>
        <v>3.5922440131245965E-2</v>
      </c>
      <c r="P56" s="5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2.6927906502440924E-2</v>
      </c>
      <c r="Q56" s="5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1.4912177574036362E-2</v>
      </c>
      <c r="S56" s="5" cm="1">
        <f t="array" ref="S56">MIN(IF((ContinuousStatsTable[GroupByKey]=ContinuousStatsTable[[#This Row],[GroupByKey]]),(ContinuousStatsTable[GroupByKey]=ContinuousStatsTable[[#This Row],[GroupByKey]])*ContinuousStatsTable[Average]))</f>
        <v>1.73231027184055E-3</v>
      </c>
      <c r="T56" s="5" cm="1">
        <f t="array" ref="T56">MAX(IF((ContinuousStatsTable[GroupByKey]=ContinuousStatsTable[[#This Row],[GroupByKey]]),(ContinuousStatsTable[GroupByKey]=ContinuousStatsTable[[#This Row],[GroupByKey]])*ContinuousStatsTable[Average]))</f>
        <v>0.10147907072585501</v>
      </c>
      <c r="U56" s="5">
        <f>IF((ContinuousStatsTable[[#This Row],[RepsRequested]]&gt;1),ContinuousStatsTable[[#This Row],[HalfWidth]],ContinuousStatsTable[[#This Row],[BatchMeansHalfWidth]])</f>
        <v>1.4912177574036362E-2</v>
      </c>
    </row>
    <row r="57" spans="1:21" x14ac:dyDescent="0.3">
      <c r="A57" t="s">
        <v>66</v>
      </c>
      <c r="B57" t="s">
        <v>69</v>
      </c>
      <c r="C57">
        <v>12</v>
      </c>
      <c r="D57" t="s">
        <v>70</v>
      </c>
      <c r="E57" t="s">
        <v>81</v>
      </c>
      <c r="F57" t="s">
        <v>72</v>
      </c>
      <c r="G57">
        <v>0.966738810315107</v>
      </c>
      <c r="H57">
        <v>2E+20</v>
      </c>
      <c r="I57">
        <v>0</v>
      </c>
      <c r="J57">
        <v>5</v>
      </c>
      <c r="K57">
        <v>0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57" s="5" cm="1">
        <f t="array" ref="N57">MAX(IF((ProjectInfoTable[ProjectName]=ContinuousStatsTable[[#This Row],[ProjectName]]),(ProjectInfoTable[ProjectName]=ContinuousStatsTable[[#This Row],[ProjectName]])*ProjectInfoTable[NumberOfReplications]))</f>
        <v>15</v>
      </c>
      <c r="O57" s="5" cm="1">
        <f t="array" ref="O57">IFERROR(AVERAGE(IF((ContinuousStatsTable[GroupByKey]=ContinuousStatsTable[[#This Row],[GroupByKey]]),(ContinuousStatsTable[GroupByKey]=ContinuousStatsTable[[#This Row],[GroupByKey]])*ContinuousStatsTable[Average])),0)</f>
        <v>1.1020792054910398</v>
      </c>
      <c r="P57" s="5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0.1267802587228237</v>
      </c>
      <c r="Q57" s="5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7.0208567115518081E-2</v>
      </c>
      <c r="S57" s="5" cm="1">
        <f t="array" ref="S57">MIN(IF((ContinuousStatsTable[GroupByKey]=ContinuousStatsTable[[#This Row],[GroupByKey]]),(ContinuousStatsTable[GroupByKey]=ContinuousStatsTable[[#This Row],[GroupByKey]])*ContinuousStatsTable[Average]))</f>
        <v>0.90784484322507997</v>
      </c>
      <c r="T57" s="5" cm="1">
        <f t="array" ref="T57">MAX(IF((ContinuousStatsTable[GroupByKey]=ContinuousStatsTable[[#This Row],[GroupByKey]]),(ContinuousStatsTable[GroupByKey]=ContinuousStatsTable[[#This Row],[GroupByKey]])*ContinuousStatsTable[Average]))</f>
        <v>1.41033627462843</v>
      </c>
      <c r="U57" s="5">
        <f>IF((ContinuousStatsTable[[#This Row],[RepsRequested]]&gt;1),ContinuousStatsTable[[#This Row],[HalfWidth]],ContinuousStatsTable[[#This Row],[BatchMeansHalfWidth]])</f>
        <v>7.0208567115518081E-2</v>
      </c>
    </row>
    <row r="58" spans="1:21" x14ac:dyDescent="0.3">
      <c r="A58" t="s">
        <v>66</v>
      </c>
      <c r="B58" t="s">
        <v>69</v>
      </c>
      <c r="C58">
        <v>12</v>
      </c>
      <c r="D58" t="s">
        <v>82</v>
      </c>
      <c r="E58" t="s">
        <v>83</v>
      </c>
      <c r="F58" t="s">
        <v>84</v>
      </c>
      <c r="G58">
        <v>0.30908648398812699</v>
      </c>
      <c r="H58">
        <v>2E+20</v>
      </c>
      <c r="I58">
        <v>0</v>
      </c>
      <c r="J58">
        <v>1</v>
      </c>
      <c r="K58">
        <v>0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58" s="5" cm="1">
        <f t="array" ref="N58">MAX(IF((ProjectInfoTable[ProjectName]=ContinuousStatsTable[[#This Row],[ProjectName]]),(ProjectInfoTable[ProjectName]=ContinuousStatsTable[[#This Row],[ProjectName]])*ProjectInfoTable[NumberOfReplications]))</f>
        <v>15</v>
      </c>
      <c r="O58" s="5" cm="1">
        <f t="array" ref="O58">IFERROR(AVERAGE(IF((ContinuousStatsTable[GroupByKey]=ContinuousStatsTable[[#This Row],[GroupByKey]]),(ContinuousStatsTable[GroupByKey]=ContinuousStatsTable[[#This Row],[GroupByKey]])*ContinuousStatsTable[Average])),0)</f>
        <v>0.35538558845326457</v>
      </c>
      <c r="P58" s="5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3.5995680767676695E-2</v>
      </c>
      <c r="Q58" s="5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1.9933743585200864E-2</v>
      </c>
      <c r="S58" s="5" cm="1">
        <f t="array" ref="S58">MIN(IF((ContinuousStatsTable[GroupByKey]=ContinuousStatsTable[[#This Row],[GroupByKey]]),(ContinuousStatsTable[GroupByKey]=ContinuousStatsTable[[#This Row],[GroupByKey]])*ContinuousStatsTable[Average]))</f>
        <v>0.29520999449618501</v>
      </c>
      <c r="T58" s="5" cm="1">
        <f t="array" ref="T58">MAX(IF((ContinuousStatsTable[GroupByKey]=ContinuousStatsTable[[#This Row],[GroupByKey]]),(ContinuousStatsTable[GroupByKey]=ContinuousStatsTable[[#This Row],[GroupByKey]])*ContinuousStatsTable[Average]))</f>
        <v>0.43628573463419201</v>
      </c>
      <c r="U58" s="5">
        <f>IF((ContinuousStatsTable[[#This Row],[RepsRequested]]&gt;1),ContinuousStatsTable[[#This Row],[HalfWidth]],ContinuousStatsTable[[#This Row],[BatchMeansHalfWidth]])</f>
        <v>1.9933743585200864E-2</v>
      </c>
    </row>
    <row r="59" spans="1:21" x14ac:dyDescent="0.3">
      <c r="A59" t="s">
        <v>66</v>
      </c>
      <c r="B59" t="s">
        <v>69</v>
      </c>
      <c r="C59">
        <v>12</v>
      </c>
      <c r="D59" t="s">
        <v>82</v>
      </c>
      <c r="E59" t="s">
        <v>85</v>
      </c>
      <c r="F59" t="s">
        <v>84</v>
      </c>
      <c r="G59">
        <v>0.92725945196438198</v>
      </c>
      <c r="H59">
        <v>2E+20</v>
      </c>
      <c r="I59">
        <v>0</v>
      </c>
      <c r="J59">
        <v>3</v>
      </c>
      <c r="K59">
        <v>0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59" s="5" cm="1">
        <f t="array" ref="N59">MAX(IF((ProjectInfoTable[ProjectName]=ContinuousStatsTable[[#This Row],[ProjectName]]),(ProjectInfoTable[ProjectName]=ContinuousStatsTable[[#This Row],[ProjectName]])*ProjectInfoTable[NumberOfReplications]))</f>
        <v>15</v>
      </c>
      <c r="O59" s="5" cm="1">
        <f t="array" ref="O59">IFERROR(AVERAGE(IF((ContinuousStatsTable[GroupByKey]=ContinuousStatsTable[[#This Row],[GroupByKey]]),(ContinuousStatsTable[GroupByKey]=ContinuousStatsTable[[#This Row],[GroupByKey]])*ContinuousStatsTable[Average])),0)</f>
        <v>1.0661567653597936</v>
      </c>
      <c r="P59" s="5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0.10798704230303055</v>
      </c>
      <c r="Q59" s="5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5.9801230755602848E-2</v>
      </c>
      <c r="S59" s="5" cm="1">
        <f t="array" ref="S59">MIN(IF((ContinuousStatsTable[GroupByKey]=ContinuousStatsTable[[#This Row],[GroupByKey]]),(ContinuousStatsTable[GroupByKey]=ContinuousStatsTable[[#This Row],[GroupByKey]])*ContinuousStatsTable[Average]))</f>
        <v>0.88562998348855504</v>
      </c>
      <c r="T59" s="5" cm="1">
        <f t="array" ref="T59">MAX(IF((ContinuousStatsTable[GroupByKey]=ContinuousStatsTable[[#This Row],[GroupByKey]]),(ContinuousStatsTable[GroupByKey]=ContinuousStatsTable[[#This Row],[GroupByKey]])*ContinuousStatsTable[Average]))</f>
        <v>1.3088572039025801</v>
      </c>
      <c r="U59" s="5">
        <f>IF((ContinuousStatsTable[[#This Row],[RepsRequested]]&gt;1),ContinuousStatsTable[[#This Row],[HalfWidth]],ContinuousStatsTable[[#This Row],[BatchMeansHalfWidth]])</f>
        <v>5.9801230755602848E-2</v>
      </c>
    </row>
    <row r="60" spans="1:21" x14ac:dyDescent="0.3">
      <c r="A60" t="s">
        <v>66</v>
      </c>
      <c r="B60" t="s">
        <v>69</v>
      </c>
      <c r="C60">
        <v>12</v>
      </c>
      <c r="D60" t="s">
        <v>82</v>
      </c>
      <c r="E60" t="s">
        <v>86</v>
      </c>
      <c r="F60" t="s">
        <v>84</v>
      </c>
      <c r="G60">
        <v>3</v>
      </c>
      <c r="H60">
        <v>2E+20</v>
      </c>
      <c r="I60">
        <v>3</v>
      </c>
      <c r="J60">
        <v>3</v>
      </c>
      <c r="K60">
        <v>3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60" s="5" cm="1">
        <f t="array" ref="N60">MAX(IF((ProjectInfoTable[ProjectName]=ContinuousStatsTable[[#This Row],[ProjectName]]),(ProjectInfoTable[ProjectName]=ContinuousStatsTable[[#This Row],[ProjectName]])*ProjectInfoTable[NumberOfReplications]))</f>
        <v>15</v>
      </c>
      <c r="O60" s="5" cm="1">
        <f t="array" ref="O60">IFERROR(AVERAGE(IF((ContinuousStatsTable[GroupByKey]=ContinuousStatsTable[[#This Row],[GroupByKey]]),(ContinuousStatsTable[GroupByKey]=ContinuousStatsTable[[#This Row],[GroupByKey]])*ContinuousStatsTable[Average])),0)</f>
        <v>3</v>
      </c>
      <c r="P60" s="5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s="5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s="5" cm="1">
        <f t="array" ref="S60">MIN(IF((ContinuousStatsTable[GroupByKey]=ContinuousStatsTable[[#This Row],[GroupByKey]]),(ContinuousStatsTable[GroupByKey]=ContinuousStatsTable[[#This Row],[GroupByKey]])*ContinuousStatsTable[Average]))</f>
        <v>3</v>
      </c>
      <c r="T60" s="5" cm="1">
        <f t="array" ref="T60">MAX(IF((ContinuousStatsTable[GroupByKey]=ContinuousStatsTable[[#This Row],[GroupByKey]]),(ContinuousStatsTable[GroupByKey]=ContinuousStatsTable[[#This Row],[GroupByKey]])*ContinuousStatsTable[Average]))</f>
        <v>3</v>
      </c>
      <c r="U60" s="5">
        <f>IF((ContinuousStatsTable[[#This Row],[RepsRequested]]&gt;1),ContinuousStatsTable[[#This Row],[HalfWidth]],ContinuousStatsTable[[#This Row],[BatchMeansHalfWidth]])</f>
        <v>0</v>
      </c>
    </row>
    <row r="61" spans="1:21" x14ac:dyDescent="0.3">
      <c r="A61" t="s">
        <v>66</v>
      </c>
      <c r="B61" t="s">
        <v>69</v>
      </c>
      <c r="C61">
        <v>12</v>
      </c>
      <c r="D61" t="s">
        <v>78</v>
      </c>
      <c r="E61" t="s">
        <v>87</v>
      </c>
      <c r="F61" t="s">
        <v>80</v>
      </c>
      <c r="G61">
        <v>3.9479358350724601E-2</v>
      </c>
      <c r="H61">
        <v>2E+20</v>
      </c>
      <c r="I61">
        <v>0</v>
      </c>
      <c r="J61">
        <v>2</v>
      </c>
      <c r="K61">
        <v>0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61" s="5" cm="1">
        <f t="array" ref="N61">MAX(IF((ProjectInfoTable[ProjectName]=ContinuousStatsTable[[#This Row],[ProjectName]]),(ProjectInfoTable[ProjectName]=ContinuousStatsTable[[#This Row],[ProjectName]])*ProjectInfoTable[NumberOfReplications]))</f>
        <v>15</v>
      </c>
      <c r="O61" s="5" cm="1">
        <f t="array" ref="O61">IFERROR(AVERAGE(IF((ContinuousStatsTable[GroupByKey]=ContinuousStatsTable[[#This Row],[GroupByKey]]),(ContinuousStatsTable[GroupByKey]=ContinuousStatsTable[[#This Row],[GroupByKey]])*ContinuousStatsTable[Average])),0)</f>
        <v>3.5922440131245965E-2</v>
      </c>
      <c r="P61" s="5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2.6927906502440924E-2</v>
      </c>
      <c r="Q61" s="5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1.4912177574036362E-2</v>
      </c>
      <c r="S61" s="5" cm="1">
        <f t="array" ref="S61">MIN(IF((ContinuousStatsTable[GroupByKey]=ContinuousStatsTable[[#This Row],[GroupByKey]]),(ContinuousStatsTable[GroupByKey]=ContinuousStatsTable[[#This Row],[GroupByKey]])*ContinuousStatsTable[Average]))</f>
        <v>1.73231027184055E-3</v>
      </c>
      <c r="T61" s="5" cm="1">
        <f t="array" ref="T61">MAX(IF((ContinuousStatsTable[GroupByKey]=ContinuousStatsTable[[#This Row],[GroupByKey]]),(ContinuousStatsTable[GroupByKey]=ContinuousStatsTable[[#This Row],[GroupByKey]])*ContinuousStatsTable[Average]))</f>
        <v>0.10147907072585501</v>
      </c>
      <c r="U61" s="5">
        <f>IF((ContinuousStatsTable[[#This Row],[RepsRequested]]&gt;1),ContinuousStatsTable[[#This Row],[HalfWidth]],ContinuousStatsTable[[#This Row],[BatchMeansHalfWidth]])</f>
        <v>1.4912177574036362E-2</v>
      </c>
    </row>
    <row r="62" spans="1:21" x14ac:dyDescent="0.3">
      <c r="A62" t="s">
        <v>66</v>
      </c>
      <c r="B62" t="s">
        <v>69</v>
      </c>
      <c r="C62">
        <v>13</v>
      </c>
      <c r="D62" t="s">
        <v>70</v>
      </c>
      <c r="E62" t="s">
        <v>81</v>
      </c>
      <c r="F62" t="s">
        <v>72</v>
      </c>
      <c r="G62">
        <v>1.1335031087112499</v>
      </c>
      <c r="H62">
        <v>2E+20</v>
      </c>
      <c r="I62">
        <v>0</v>
      </c>
      <c r="J62">
        <v>5</v>
      </c>
      <c r="K62">
        <v>0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62" s="5" cm="1">
        <f t="array" ref="N62">MAX(IF((ProjectInfoTable[ProjectName]=ContinuousStatsTable[[#This Row],[ProjectName]]),(ProjectInfoTable[ProjectName]=ContinuousStatsTable[[#This Row],[ProjectName]])*ProjectInfoTable[NumberOfReplications]))</f>
        <v>15</v>
      </c>
      <c r="O62" s="5" cm="1">
        <f t="array" ref="O62">IFERROR(AVERAGE(IF((ContinuousStatsTable[GroupByKey]=ContinuousStatsTable[[#This Row],[GroupByKey]]),(ContinuousStatsTable[GroupByKey]=ContinuousStatsTable[[#This Row],[GroupByKey]])*ContinuousStatsTable[Average])),0)</f>
        <v>1.1020792054910398</v>
      </c>
      <c r="P62" s="5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0.1267802587228237</v>
      </c>
      <c r="Q62" s="5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7.0208567115518081E-2</v>
      </c>
      <c r="S62" s="5" cm="1">
        <f t="array" ref="S62">MIN(IF((ContinuousStatsTable[GroupByKey]=ContinuousStatsTable[[#This Row],[GroupByKey]]),(ContinuousStatsTable[GroupByKey]=ContinuousStatsTable[[#This Row],[GroupByKey]])*ContinuousStatsTable[Average]))</f>
        <v>0.90784484322507997</v>
      </c>
      <c r="T62" s="5" cm="1">
        <f t="array" ref="T62">MAX(IF((ContinuousStatsTable[GroupByKey]=ContinuousStatsTable[[#This Row],[GroupByKey]]),(ContinuousStatsTable[GroupByKey]=ContinuousStatsTable[[#This Row],[GroupByKey]])*ContinuousStatsTable[Average]))</f>
        <v>1.41033627462843</v>
      </c>
      <c r="U62" s="5">
        <f>IF((ContinuousStatsTable[[#This Row],[RepsRequested]]&gt;1),ContinuousStatsTable[[#This Row],[HalfWidth]],ContinuousStatsTable[[#This Row],[BatchMeansHalfWidth]])</f>
        <v>7.0208567115518081E-2</v>
      </c>
    </row>
    <row r="63" spans="1:21" x14ac:dyDescent="0.3">
      <c r="A63" t="s">
        <v>66</v>
      </c>
      <c r="B63" t="s">
        <v>69</v>
      </c>
      <c r="C63">
        <v>13</v>
      </c>
      <c r="D63" t="s">
        <v>82</v>
      </c>
      <c r="E63" t="s">
        <v>83</v>
      </c>
      <c r="F63" t="s">
        <v>84</v>
      </c>
      <c r="G63">
        <v>0.36538851752745199</v>
      </c>
      <c r="H63">
        <v>2E+20</v>
      </c>
      <c r="I63">
        <v>0</v>
      </c>
      <c r="J63">
        <v>1</v>
      </c>
      <c r="K63">
        <v>0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63" s="5" cm="1">
        <f t="array" ref="N63">MAX(IF((ProjectInfoTable[ProjectName]=ContinuousStatsTable[[#This Row],[ProjectName]]),(ProjectInfoTable[ProjectName]=ContinuousStatsTable[[#This Row],[ProjectName]])*ProjectInfoTable[NumberOfReplications]))</f>
        <v>15</v>
      </c>
      <c r="O63" s="5" cm="1">
        <f t="array" ref="O63">IFERROR(AVERAGE(IF((ContinuousStatsTable[GroupByKey]=ContinuousStatsTable[[#This Row],[GroupByKey]]),(ContinuousStatsTable[GroupByKey]=ContinuousStatsTable[[#This Row],[GroupByKey]])*ContinuousStatsTable[Average])),0)</f>
        <v>0.35538558845326457</v>
      </c>
      <c r="P63" s="5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3.5995680767676695E-2</v>
      </c>
      <c r="Q63" s="5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1.9933743585200864E-2</v>
      </c>
      <c r="S63" s="5" cm="1">
        <f t="array" ref="S63">MIN(IF((ContinuousStatsTable[GroupByKey]=ContinuousStatsTable[[#This Row],[GroupByKey]]),(ContinuousStatsTable[GroupByKey]=ContinuousStatsTable[[#This Row],[GroupByKey]])*ContinuousStatsTable[Average]))</f>
        <v>0.29520999449618501</v>
      </c>
      <c r="T63" s="5" cm="1">
        <f t="array" ref="T63">MAX(IF((ContinuousStatsTable[GroupByKey]=ContinuousStatsTable[[#This Row],[GroupByKey]]),(ContinuousStatsTable[GroupByKey]=ContinuousStatsTable[[#This Row],[GroupByKey]])*ContinuousStatsTable[Average]))</f>
        <v>0.43628573463419201</v>
      </c>
      <c r="U63" s="5">
        <f>IF((ContinuousStatsTable[[#This Row],[RepsRequested]]&gt;1),ContinuousStatsTable[[#This Row],[HalfWidth]],ContinuousStatsTable[[#This Row],[BatchMeansHalfWidth]])</f>
        <v>1.9933743585200864E-2</v>
      </c>
    </row>
    <row r="64" spans="1:21" x14ac:dyDescent="0.3">
      <c r="A64" t="s">
        <v>66</v>
      </c>
      <c r="B64" t="s">
        <v>69</v>
      </c>
      <c r="C64">
        <v>13</v>
      </c>
      <c r="D64" t="s">
        <v>82</v>
      </c>
      <c r="E64" t="s">
        <v>85</v>
      </c>
      <c r="F64" t="s">
        <v>84</v>
      </c>
      <c r="G64">
        <v>1.0961655525823499</v>
      </c>
      <c r="H64">
        <v>2E+20</v>
      </c>
      <c r="I64">
        <v>0</v>
      </c>
      <c r="J64">
        <v>3</v>
      </c>
      <c r="K64">
        <v>0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64" s="5" cm="1">
        <f t="array" ref="N64">MAX(IF((ProjectInfoTable[ProjectName]=ContinuousStatsTable[[#This Row],[ProjectName]]),(ProjectInfoTable[ProjectName]=ContinuousStatsTable[[#This Row],[ProjectName]])*ProjectInfoTable[NumberOfReplications]))</f>
        <v>15</v>
      </c>
      <c r="O64" s="5" cm="1">
        <f t="array" ref="O64">IFERROR(AVERAGE(IF((ContinuousStatsTable[GroupByKey]=ContinuousStatsTable[[#This Row],[GroupByKey]]),(ContinuousStatsTable[GroupByKey]=ContinuousStatsTable[[#This Row],[GroupByKey]])*ContinuousStatsTable[Average])),0)</f>
        <v>1.0661567653597936</v>
      </c>
      <c r="P64" s="5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0.10798704230303055</v>
      </c>
      <c r="Q64" s="5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5.9801230755602848E-2</v>
      </c>
      <c r="S64" s="5" cm="1">
        <f t="array" ref="S64">MIN(IF((ContinuousStatsTable[GroupByKey]=ContinuousStatsTable[[#This Row],[GroupByKey]]),(ContinuousStatsTable[GroupByKey]=ContinuousStatsTable[[#This Row],[GroupByKey]])*ContinuousStatsTable[Average]))</f>
        <v>0.88562998348855504</v>
      </c>
      <c r="T64" s="5" cm="1">
        <f t="array" ref="T64">MAX(IF((ContinuousStatsTable[GroupByKey]=ContinuousStatsTable[[#This Row],[GroupByKey]]),(ContinuousStatsTable[GroupByKey]=ContinuousStatsTable[[#This Row],[GroupByKey]])*ContinuousStatsTable[Average]))</f>
        <v>1.3088572039025801</v>
      </c>
      <c r="U64" s="5">
        <f>IF((ContinuousStatsTable[[#This Row],[RepsRequested]]&gt;1),ContinuousStatsTable[[#This Row],[HalfWidth]],ContinuousStatsTable[[#This Row],[BatchMeansHalfWidth]])</f>
        <v>5.9801230755602848E-2</v>
      </c>
    </row>
    <row r="65" spans="1:21" x14ac:dyDescent="0.3">
      <c r="A65" t="s">
        <v>66</v>
      </c>
      <c r="B65" t="s">
        <v>69</v>
      </c>
      <c r="C65">
        <v>13</v>
      </c>
      <c r="D65" t="s">
        <v>82</v>
      </c>
      <c r="E65" t="s">
        <v>86</v>
      </c>
      <c r="F65" t="s">
        <v>84</v>
      </c>
      <c r="G65">
        <v>3</v>
      </c>
      <c r="H65">
        <v>2E+20</v>
      </c>
      <c r="I65">
        <v>3</v>
      </c>
      <c r="J65">
        <v>3</v>
      </c>
      <c r="K65">
        <v>3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65" s="5" cm="1">
        <f t="array" ref="N65">MAX(IF((ProjectInfoTable[ProjectName]=ContinuousStatsTable[[#This Row],[ProjectName]]),(ProjectInfoTable[ProjectName]=ContinuousStatsTable[[#This Row],[ProjectName]])*ProjectInfoTable[NumberOfReplications]))</f>
        <v>15</v>
      </c>
      <c r="O65" s="5" cm="1">
        <f t="array" ref="O65">IFERROR(AVERAGE(IF((ContinuousStatsTable[GroupByKey]=ContinuousStatsTable[[#This Row],[GroupByKey]]),(ContinuousStatsTable[GroupByKey]=ContinuousStatsTable[[#This Row],[GroupByKey]])*ContinuousStatsTable[Average])),0)</f>
        <v>3</v>
      </c>
      <c r="P65" s="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s="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s="5" cm="1">
        <f t="array" ref="S65">MIN(IF((ContinuousStatsTable[GroupByKey]=ContinuousStatsTable[[#This Row],[GroupByKey]]),(ContinuousStatsTable[GroupByKey]=ContinuousStatsTable[[#This Row],[GroupByKey]])*ContinuousStatsTable[Average]))</f>
        <v>3</v>
      </c>
      <c r="T65" s="5" cm="1">
        <f t="array" ref="T65">MAX(IF((ContinuousStatsTable[GroupByKey]=ContinuousStatsTable[[#This Row],[GroupByKey]]),(ContinuousStatsTable[GroupByKey]=ContinuousStatsTable[[#This Row],[GroupByKey]])*ContinuousStatsTable[Average]))</f>
        <v>3</v>
      </c>
      <c r="U65" s="5">
        <f>IF((ContinuousStatsTable[[#This Row],[RepsRequested]]&gt;1),ContinuousStatsTable[[#This Row],[HalfWidth]],ContinuousStatsTable[[#This Row],[BatchMeansHalfWidth]])</f>
        <v>0</v>
      </c>
    </row>
    <row r="66" spans="1:21" x14ac:dyDescent="0.3">
      <c r="A66" t="s">
        <v>66</v>
      </c>
      <c r="B66" t="s">
        <v>69</v>
      </c>
      <c r="C66">
        <v>13</v>
      </c>
      <c r="D66" t="s">
        <v>78</v>
      </c>
      <c r="E66" t="s">
        <v>87</v>
      </c>
      <c r="F66" t="s">
        <v>80</v>
      </c>
      <c r="G66">
        <v>3.7337556128895201E-2</v>
      </c>
      <c r="H66">
        <v>2E+20</v>
      </c>
      <c r="I66">
        <v>0</v>
      </c>
      <c r="J66">
        <v>2</v>
      </c>
      <c r="K66">
        <v>0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66" s="5" cm="1">
        <f t="array" ref="N66">MAX(IF((ProjectInfoTable[ProjectName]=ContinuousStatsTable[[#This Row],[ProjectName]]),(ProjectInfoTable[ProjectName]=ContinuousStatsTable[[#This Row],[ProjectName]])*ProjectInfoTable[NumberOfReplications]))</f>
        <v>15</v>
      </c>
      <c r="O66" s="5" cm="1">
        <f t="array" ref="O66">IFERROR(AVERAGE(IF((ContinuousStatsTable[GroupByKey]=ContinuousStatsTable[[#This Row],[GroupByKey]]),(ContinuousStatsTable[GroupByKey]=ContinuousStatsTable[[#This Row],[GroupByKey]])*ContinuousStatsTable[Average])),0)</f>
        <v>3.5922440131245965E-2</v>
      </c>
      <c r="P66" s="5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2.6927906502440924E-2</v>
      </c>
      <c r="Q66" s="5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1.4912177574036362E-2</v>
      </c>
      <c r="S66" s="5" cm="1">
        <f t="array" ref="S66">MIN(IF((ContinuousStatsTable[GroupByKey]=ContinuousStatsTable[[#This Row],[GroupByKey]]),(ContinuousStatsTable[GroupByKey]=ContinuousStatsTable[[#This Row],[GroupByKey]])*ContinuousStatsTable[Average]))</f>
        <v>1.73231027184055E-3</v>
      </c>
      <c r="T66" s="5" cm="1">
        <f t="array" ref="T66">MAX(IF((ContinuousStatsTable[GroupByKey]=ContinuousStatsTable[[#This Row],[GroupByKey]]),(ContinuousStatsTable[GroupByKey]=ContinuousStatsTable[[#This Row],[GroupByKey]])*ContinuousStatsTable[Average]))</f>
        <v>0.10147907072585501</v>
      </c>
      <c r="U66" s="5">
        <f>IF((ContinuousStatsTable[[#This Row],[RepsRequested]]&gt;1),ContinuousStatsTable[[#This Row],[HalfWidth]],ContinuousStatsTable[[#This Row],[BatchMeansHalfWidth]])</f>
        <v>1.4912177574036362E-2</v>
      </c>
    </row>
    <row r="67" spans="1:21" x14ac:dyDescent="0.3">
      <c r="A67" t="s">
        <v>66</v>
      </c>
      <c r="B67" t="s">
        <v>69</v>
      </c>
      <c r="C67">
        <v>14</v>
      </c>
      <c r="D67" t="s">
        <v>70</v>
      </c>
      <c r="E67" t="s">
        <v>81</v>
      </c>
      <c r="F67" t="s">
        <v>72</v>
      </c>
      <c r="G67">
        <v>1.0796428748429301</v>
      </c>
      <c r="H67">
        <v>2E+20</v>
      </c>
      <c r="I67">
        <v>0</v>
      </c>
      <c r="J67">
        <v>5</v>
      </c>
      <c r="K67">
        <v>2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67" s="5" cm="1">
        <f t="array" ref="N67">MAX(IF((ProjectInfoTable[ProjectName]=ContinuousStatsTable[[#This Row],[ProjectName]]),(ProjectInfoTable[ProjectName]=ContinuousStatsTable[[#This Row],[ProjectName]])*ProjectInfoTable[NumberOfReplications]))</f>
        <v>15</v>
      </c>
      <c r="O67" s="5" cm="1">
        <f t="array" ref="O67">IFERROR(AVERAGE(IF((ContinuousStatsTable[GroupByKey]=ContinuousStatsTable[[#This Row],[GroupByKey]]),(ContinuousStatsTable[GroupByKey]=ContinuousStatsTable[[#This Row],[GroupByKey]])*ContinuousStatsTable[Average])),0)</f>
        <v>1.1020792054910398</v>
      </c>
      <c r="P67" s="5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0.1267802587228237</v>
      </c>
      <c r="Q67" s="5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7.0208567115518081E-2</v>
      </c>
      <c r="S67" s="5" cm="1">
        <f t="array" ref="S67">MIN(IF((ContinuousStatsTable[GroupByKey]=ContinuousStatsTable[[#This Row],[GroupByKey]]),(ContinuousStatsTable[GroupByKey]=ContinuousStatsTable[[#This Row],[GroupByKey]])*ContinuousStatsTable[Average]))</f>
        <v>0.90784484322507997</v>
      </c>
      <c r="T67" s="5" cm="1">
        <f t="array" ref="T67">MAX(IF((ContinuousStatsTable[GroupByKey]=ContinuousStatsTable[[#This Row],[GroupByKey]]),(ContinuousStatsTable[GroupByKey]=ContinuousStatsTable[[#This Row],[GroupByKey]])*ContinuousStatsTable[Average]))</f>
        <v>1.41033627462843</v>
      </c>
      <c r="U67" s="5">
        <f>IF((ContinuousStatsTable[[#This Row],[RepsRequested]]&gt;1),ContinuousStatsTable[[#This Row],[HalfWidth]],ContinuousStatsTable[[#This Row],[BatchMeansHalfWidth]])</f>
        <v>7.0208567115518081E-2</v>
      </c>
    </row>
    <row r="68" spans="1:21" x14ac:dyDescent="0.3">
      <c r="A68" t="s">
        <v>66</v>
      </c>
      <c r="B68" t="s">
        <v>69</v>
      </c>
      <c r="C68">
        <v>14</v>
      </c>
      <c r="D68" t="s">
        <v>82</v>
      </c>
      <c r="E68" t="s">
        <v>83</v>
      </c>
      <c r="F68" t="s">
        <v>84</v>
      </c>
      <c r="G68">
        <v>0.348186854958833</v>
      </c>
      <c r="H68">
        <v>2E+20</v>
      </c>
      <c r="I68">
        <v>0</v>
      </c>
      <c r="J68">
        <v>1</v>
      </c>
      <c r="K68">
        <v>0.66666666666666696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68" s="5" cm="1">
        <f t="array" ref="N68">MAX(IF((ProjectInfoTable[ProjectName]=ContinuousStatsTable[[#This Row],[ProjectName]]),(ProjectInfoTable[ProjectName]=ContinuousStatsTable[[#This Row],[ProjectName]])*ProjectInfoTable[NumberOfReplications]))</f>
        <v>15</v>
      </c>
      <c r="O68" s="5" cm="1">
        <f t="array" ref="O68">IFERROR(AVERAGE(IF((ContinuousStatsTable[GroupByKey]=ContinuousStatsTable[[#This Row],[GroupByKey]]),(ContinuousStatsTable[GroupByKey]=ContinuousStatsTable[[#This Row],[GroupByKey]])*ContinuousStatsTable[Average])),0)</f>
        <v>0.35538558845326457</v>
      </c>
      <c r="P68" s="5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3.5995680767676695E-2</v>
      </c>
      <c r="Q68" s="5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1.9933743585200864E-2</v>
      </c>
      <c r="S68" s="5" cm="1">
        <f t="array" ref="S68">MIN(IF((ContinuousStatsTable[GroupByKey]=ContinuousStatsTable[[#This Row],[GroupByKey]]),(ContinuousStatsTable[GroupByKey]=ContinuousStatsTable[[#This Row],[GroupByKey]])*ContinuousStatsTable[Average]))</f>
        <v>0.29520999449618501</v>
      </c>
      <c r="T68" s="5" cm="1">
        <f t="array" ref="T68">MAX(IF((ContinuousStatsTable[GroupByKey]=ContinuousStatsTable[[#This Row],[GroupByKey]]),(ContinuousStatsTable[GroupByKey]=ContinuousStatsTable[[#This Row],[GroupByKey]])*ContinuousStatsTable[Average]))</f>
        <v>0.43628573463419201</v>
      </c>
      <c r="U68" s="5">
        <f>IF((ContinuousStatsTable[[#This Row],[RepsRequested]]&gt;1),ContinuousStatsTable[[#This Row],[HalfWidth]],ContinuousStatsTable[[#This Row],[BatchMeansHalfWidth]])</f>
        <v>1.9933743585200864E-2</v>
      </c>
    </row>
    <row r="69" spans="1:21" x14ac:dyDescent="0.3">
      <c r="A69" t="s">
        <v>66</v>
      </c>
      <c r="B69" t="s">
        <v>69</v>
      </c>
      <c r="C69">
        <v>14</v>
      </c>
      <c r="D69" t="s">
        <v>82</v>
      </c>
      <c r="E69" t="s">
        <v>85</v>
      </c>
      <c r="F69" t="s">
        <v>84</v>
      </c>
      <c r="G69">
        <v>1.0445605648765</v>
      </c>
      <c r="H69">
        <v>2E+20</v>
      </c>
      <c r="I69">
        <v>0</v>
      </c>
      <c r="J69">
        <v>3</v>
      </c>
      <c r="K69">
        <v>2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69" s="5" cm="1">
        <f t="array" ref="N69">MAX(IF((ProjectInfoTable[ProjectName]=ContinuousStatsTable[[#This Row],[ProjectName]]),(ProjectInfoTable[ProjectName]=ContinuousStatsTable[[#This Row],[ProjectName]])*ProjectInfoTable[NumberOfReplications]))</f>
        <v>15</v>
      </c>
      <c r="O69" s="5" cm="1">
        <f t="array" ref="O69">IFERROR(AVERAGE(IF((ContinuousStatsTable[GroupByKey]=ContinuousStatsTable[[#This Row],[GroupByKey]]),(ContinuousStatsTable[GroupByKey]=ContinuousStatsTable[[#This Row],[GroupByKey]])*ContinuousStatsTable[Average])),0)</f>
        <v>1.0661567653597936</v>
      </c>
      <c r="P69" s="5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0.10798704230303055</v>
      </c>
      <c r="Q69" s="5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5.9801230755602848E-2</v>
      </c>
      <c r="S69" s="5" cm="1">
        <f t="array" ref="S69">MIN(IF((ContinuousStatsTable[GroupByKey]=ContinuousStatsTable[[#This Row],[GroupByKey]]),(ContinuousStatsTable[GroupByKey]=ContinuousStatsTable[[#This Row],[GroupByKey]])*ContinuousStatsTable[Average]))</f>
        <v>0.88562998348855504</v>
      </c>
      <c r="T69" s="5" cm="1">
        <f t="array" ref="T69">MAX(IF((ContinuousStatsTable[GroupByKey]=ContinuousStatsTable[[#This Row],[GroupByKey]]),(ContinuousStatsTable[GroupByKey]=ContinuousStatsTable[[#This Row],[GroupByKey]])*ContinuousStatsTable[Average]))</f>
        <v>1.3088572039025801</v>
      </c>
      <c r="U69" s="5">
        <f>IF((ContinuousStatsTable[[#This Row],[RepsRequested]]&gt;1),ContinuousStatsTable[[#This Row],[HalfWidth]],ContinuousStatsTable[[#This Row],[BatchMeansHalfWidth]])</f>
        <v>5.9801230755602848E-2</v>
      </c>
    </row>
    <row r="70" spans="1:21" x14ac:dyDescent="0.3">
      <c r="A70" t="s">
        <v>66</v>
      </c>
      <c r="B70" t="s">
        <v>69</v>
      </c>
      <c r="C70">
        <v>14</v>
      </c>
      <c r="D70" t="s">
        <v>82</v>
      </c>
      <c r="E70" t="s">
        <v>86</v>
      </c>
      <c r="F70" t="s">
        <v>84</v>
      </c>
      <c r="G70">
        <v>3</v>
      </c>
      <c r="H70">
        <v>2E+20</v>
      </c>
      <c r="I70">
        <v>3</v>
      </c>
      <c r="J70">
        <v>3</v>
      </c>
      <c r="K70">
        <v>3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70" s="5" cm="1">
        <f t="array" ref="N70">MAX(IF((ProjectInfoTable[ProjectName]=ContinuousStatsTable[[#This Row],[ProjectName]]),(ProjectInfoTable[ProjectName]=ContinuousStatsTable[[#This Row],[ProjectName]])*ProjectInfoTable[NumberOfReplications]))</f>
        <v>15</v>
      </c>
      <c r="O70" s="5" cm="1">
        <f t="array" ref="O70">IFERROR(AVERAGE(IF((ContinuousStatsTable[GroupByKey]=ContinuousStatsTable[[#This Row],[GroupByKey]]),(ContinuousStatsTable[GroupByKey]=ContinuousStatsTable[[#This Row],[GroupByKey]])*ContinuousStatsTable[Average])),0)</f>
        <v>3</v>
      </c>
      <c r="P70" s="5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s="5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s="5" cm="1">
        <f t="array" ref="S70">MIN(IF((ContinuousStatsTable[GroupByKey]=ContinuousStatsTable[[#This Row],[GroupByKey]]),(ContinuousStatsTable[GroupByKey]=ContinuousStatsTable[[#This Row],[GroupByKey]])*ContinuousStatsTable[Average]))</f>
        <v>3</v>
      </c>
      <c r="T70" s="5" cm="1">
        <f t="array" ref="T70">MAX(IF((ContinuousStatsTable[GroupByKey]=ContinuousStatsTable[[#This Row],[GroupByKey]]),(ContinuousStatsTable[GroupByKey]=ContinuousStatsTable[[#This Row],[GroupByKey]])*ContinuousStatsTable[Average]))</f>
        <v>3</v>
      </c>
      <c r="U70" s="5">
        <f>IF((ContinuousStatsTable[[#This Row],[RepsRequested]]&gt;1),ContinuousStatsTable[[#This Row],[HalfWidth]],ContinuousStatsTable[[#This Row],[BatchMeansHalfWidth]])</f>
        <v>0</v>
      </c>
    </row>
    <row r="71" spans="1:21" x14ac:dyDescent="0.3">
      <c r="A71" t="s">
        <v>66</v>
      </c>
      <c r="B71" t="s">
        <v>69</v>
      </c>
      <c r="C71">
        <v>14</v>
      </c>
      <c r="D71" t="s">
        <v>78</v>
      </c>
      <c r="E71" t="s">
        <v>87</v>
      </c>
      <c r="F71" t="s">
        <v>80</v>
      </c>
      <c r="G71">
        <v>3.5082309966434397E-2</v>
      </c>
      <c r="H71">
        <v>2E+20</v>
      </c>
      <c r="I71">
        <v>0</v>
      </c>
      <c r="J71">
        <v>2</v>
      </c>
      <c r="K71">
        <v>0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71" s="5" cm="1">
        <f t="array" ref="N71">MAX(IF((ProjectInfoTable[ProjectName]=ContinuousStatsTable[[#This Row],[ProjectName]]),(ProjectInfoTable[ProjectName]=ContinuousStatsTable[[#This Row],[ProjectName]])*ProjectInfoTable[NumberOfReplications]))</f>
        <v>15</v>
      </c>
      <c r="O71" s="5" cm="1">
        <f t="array" ref="O71">IFERROR(AVERAGE(IF((ContinuousStatsTable[GroupByKey]=ContinuousStatsTable[[#This Row],[GroupByKey]]),(ContinuousStatsTable[GroupByKey]=ContinuousStatsTable[[#This Row],[GroupByKey]])*ContinuousStatsTable[Average])),0)</f>
        <v>3.5922440131245965E-2</v>
      </c>
      <c r="P71" s="5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2.6927906502440924E-2</v>
      </c>
      <c r="Q71" s="5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1.4912177574036362E-2</v>
      </c>
      <c r="S71" s="5" cm="1">
        <f t="array" ref="S71">MIN(IF((ContinuousStatsTable[GroupByKey]=ContinuousStatsTable[[#This Row],[GroupByKey]]),(ContinuousStatsTable[GroupByKey]=ContinuousStatsTable[[#This Row],[GroupByKey]])*ContinuousStatsTable[Average]))</f>
        <v>1.73231027184055E-3</v>
      </c>
      <c r="T71" s="5" cm="1">
        <f t="array" ref="T71">MAX(IF((ContinuousStatsTable[GroupByKey]=ContinuousStatsTable[[#This Row],[GroupByKey]]),(ContinuousStatsTable[GroupByKey]=ContinuousStatsTable[[#This Row],[GroupByKey]])*ContinuousStatsTable[Average]))</f>
        <v>0.10147907072585501</v>
      </c>
      <c r="U71" s="5">
        <f>IF((ContinuousStatsTable[[#This Row],[RepsRequested]]&gt;1),ContinuousStatsTable[[#This Row],[HalfWidth]],ContinuousStatsTable[[#This Row],[BatchMeansHalfWidth]])</f>
        <v>1.4912177574036362E-2</v>
      </c>
    </row>
    <row r="72" spans="1:21" x14ac:dyDescent="0.3">
      <c r="A72" t="s">
        <v>66</v>
      </c>
      <c r="B72" t="s">
        <v>69</v>
      </c>
      <c r="C72">
        <v>15</v>
      </c>
      <c r="D72" t="s">
        <v>70</v>
      </c>
      <c r="E72" t="s">
        <v>81</v>
      </c>
      <c r="F72" t="s">
        <v>72</v>
      </c>
      <c r="G72">
        <v>0.98250035042253103</v>
      </c>
      <c r="H72">
        <v>2E+20</v>
      </c>
      <c r="I72">
        <v>0</v>
      </c>
      <c r="J72">
        <v>5</v>
      </c>
      <c r="K72">
        <v>1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72" s="5" cm="1">
        <f t="array" ref="N72">MAX(IF((ProjectInfoTable[ProjectName]=ContinuousStatsTable[[#This Row],[ProjectName]]),(ProjectInfoTable[ProjectName]=ContinuousStatsTable[[#This Row],[ProjectName]])*ProjectInfoTable[NumberOfReplications]))</f>
        <v>15</v>
      </c>
      <c r="O72" s="5" cm="1">
        <f t="array" ref="O72">IFERROR(AVERAGE(IF((ContinuousStatsTable[GroupByKey]=ContinuousStatsTable[[#This Row],[GroupByKey]]),(ContinuousStatsTable[GroupByKey]=ContinuousStatsTable[[#This Row],[GroupByKey]])*ContinuousStatsTable[Average])),0)</f>
        <v>1.1020792054910398</v>
      </c>
      <c r="P72" s="5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0.1267802587228237</v>
      </c>
      <c r="Q72" s="5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7.0208567115518081E-2</v>
      </c>
      <c r="S72" s="5" cm="1">
        <f t="array" ref="S72">MIN(IF((ContinuousStatsTable[GroupByKey]=ContinuousStatsTable[[#This Row],[GroupByKey]]),(ContinuousStatsTable[GroupByKey]=ContinuousStatsTable[[#This Row],[GroupByKey]])*ContinuousStatsTable[Average]))</f>
        <v>0.90784484322507997</v>
      </c>
      <c r="T72" s="5" cm="1">
        <f t="array" ref="T72">MAX(IF((ContinuousStatsTable[GroupByKey]=ContinuousStatsTable[[#This Row],[GroupByKey]]),(ContinuousStatsTable[GroupByKey]=ContinuousStatsTable[[#This Row],[GroupByKey]])*ContinuousStatsTable[Average]))</f>
        <v>1.41033627462843</v>
      </c>
      <c r="U72" s="5">
        <f>IF((ContinuousStatsTable[[#This Row],[RepsRequested]]&gt;1),ContinuousStatsTable[[#This Row],[HalfWidth]],ContinuousStatsTable[[#This Row],[BatchMeansHalfWidth]])</f>
        <v>7.0208567115518081E-2</v>
      </c>
    </row>
    <row r="73" spans="1:21" x14ac:dyDescent="0.3">
      <c r="A73" t="s">
        <v>66</v>
      </c>
      <c r="B73" t="s">
        <v>69</v>
      </c>
      <c r="C73">
        <v>15</v>
      </c>
      <c r="D73" t="s">
        <v>82</v>
      </c>
      <c r="E73" t="s">
        <v>83</v>
      </c>
      <c r="F73" t="s">
        <v>84</v>
      </c>
      <c r="G73">
        <v>0.32155420871849999</v>
      </c>
      <c r="H73">
        <v>2E+20</v>
      </c>
      <c r="I73">
        <v>0</v>
      </c>
      <c r="J73">
        <v>1</v>
      </c>
      <c r="K73">
        <v>0.33333333333333298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73" s="5" cm="1">
        <f t="array" ref="N73">MAX(IF((ProjectInfoTable[ProjectName]=ContinuousStatsTable[[#This Row],[ProjectName]]),(ProjectInfoTable[ProjectName]=ContinuousStatsTable[[#This Row],[ProjectName]])*ProjectInfoTable[NumberOfReplications]))</f>
        <v>15</v>
      </c>
      <c r="O73" s="5" cm="1">
        <f t="array" ref="O73">IFERROR(AVERAGE(IF((ContinuousStatsTable[GroupByKey]=ContinuousStatsTable[[#This Row],[GroupByKey]]),(ContinuousStatsTable[GroupByKey]=ContinuousStatsTable[[#This Row],[GroupByKey]])*ContinuousStatsTable[Average])),0)</f>
        <v>0.35538558845326457</v>
      </c>
      <c r="P73" s="5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3.5995680767676695E-2</v>
      </c>
      <c r="Q73" s="5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1.9933743585200864E-2</v>
      </c>
      <c r="S73" s="5" cm="1">
        <f t="array" ref="S73">MIN(IF((ContinuousStatsTable[GroupByKey]=ContinuousStatsTable[[#This Row],[GroupByKey]]),(ContinuousStatsTable[GroupByKey]=ContinuousStatsTable[[#This Row],[GroupByKey]])*ContinuousStatsTable[Average]))</f>
        <v>0.29520999449618501</v>
      </c>
      <c r="T73" s="5" cm="1">
        <f t="array" ref="T73">MAX(IF((ContinuousStatsTable[GroupByKey]=ContinuousStatsTable[[#This Row],[GroupByKey]]),(ContinuousStatsTable[GroupByKey]=ContinuousStatsTable[[#This Row],[GroupByKey]])*ContinuousStatsTable[Average]))</f>
        <v>0.43628573463419201</v>
      </c>
      <c r="U73" s="5">
        <f>IF((ContinuousStatsTable[[#This Row],[RepsRequested]]&gt;1),ContinuousStatsTable[[#This Row],[HalfWidth]],ContinuousStatsTable[[#This Row],[BatchMeansHalfWidth]])</f>
        <v>1.9933743585200864E-2</v>
      </c>
    </row>
    <row r="74" spans="1:21" x14ac:dyDescent="0.3">
      <c r="A74" t="s">
        <v>66</v>
      </c>
      <c r="B74" t="s">
        <v>69</v>
      </c>
      <c r="C74">
        <v>15</v>
      </c>
      <c r="D74" t="s">
        <v>82</v>
      </c>
      <c r="E74" t="s">
        <v>85</v>
      </c>
      <c r="F74" t="s">
        <v>84</v>
      </c>
      <c r="G74">
        <v>0.96466262615550102</v>
      </c>
      <c r="H74">
        <v>2E+20</v>
      </c>
      <c r="I74">
        <v>0</v>
      </c>
      <c r="J74">
        <v>3</v>
      </c>
      <c r="K74">
        <v>1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74" s="5" cm="1">
        <f t="array" ref="N74">MAX(IF((ProjectInfoTable[ProjectName]=ContinuousStatsTable[[#This Row],[ProjectName]]),(ProjectInfoTable[ProjectName]=ContinuousStatsTable[[#This Row],[ProjectName]])*ProjectInfoTable[NumberOfReplications]))</f>
        <v>15</v>
      </c>
      <c r="O74" s="5" cm="1">
        <f t="array" ref="O74">IFERROR(AVERAGE(IF((ContinuousStatsTable[GroupByKey]=ContinuousStatsTable[[#This Row],[GroupByKey]]),(ContinuousStatsTable[GroupByKey]=ContinuousStatsTable[[#This Row],[GroupByKey]])*ContinuousStatsTable[Average])),0)</f>
        <v>1.0661567653597936</v>
      </c>
      <c r="P74" s="5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0.10798704230303055</v>
      </c>
      <c r="Q74" s="5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5.9801230755602848E-2</v>
      </c>
      <c r="S74" s="5" cm="1">
        <f t="array" ref="S74">MIN(IF((ContinuousStatsTable[GroupByKey]=ContinuousStatsTable[[#This Row],[GroupByKey]]),(ContinuousStatsTable[GroupByKey]=ContinuousStatsTable[[#This Row],[GroupByKey]])*ContinuousStatsTable[Average]))</f>
        <v>0.88562998348855504</v>
      </c>
      <c r="T74" s="5" cm="1">
        <f t="array" ref="T74">MAX(IF((ContinuousStatsTable[GroupByKey]=ContinuousStatsTable[[#This Row],[GroupByKey]]),(ContinuousStatsTable[GroupByKey]=ContinuousStatsTable[[#This Row],[GroupByKey]])*ContinuousStatsTable[Average]))</f>
        <v>1.3088572039025801</v>
      </c>
      <c r="U74" s="5">
        <f>IF((ContinuousStatsTable[[#This Row],[RepsRequested]]&gt;1),ContinuousStatsTable[[#This Row],[HalfWidth]],ContinuousStatsTable[[#This Row],[BatchMeansHalfWidth]])</f>
        <v>5.9801230755602848E-2</v>
      </c>
    </row>
    <row r="75" spans="1:21" x14ac:dyDescent="0.3">
      <c r="A75" t="s">
        <v>66</v>
      </c>
      <c r="B75" t="s">
        <v>69</v>
      </c>
      <c r="C75">
        <v>15</v>
      </c>
      <c r="D75" t="s">
        <v>82</v>
      </c>
      <c r="E75" t="s">
        <v>86</v>
      </c>
      <c r="F75" t="s">
        <v>84</v>
      </c>
      <c r="G75">
        <v>3</v>
      </c>
      <c r="H75">
        <v>2E+20</v>
      </c>
      <c r="I75">
        <v>3</v>
      </c>
      <c r="J75">
        <v>3</v>
      </c>
      <c r="K75">
        <v>3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75" s="5" cm="1">
        <f t="array" ref="N75">MAX(IF((ProjectInfoTable[ProjectName]=ContinuousStatsTable[[#This Row],[ProjectName]]),(ProjectInfoTable[ProjectName]=ContinuousStatsTable[[#This Row],[ProjectName]])*ProjectInfoTable[NumberOfReplications]))</f>
        <v>15</v>
      </c>
      <c r="O75" s="5" cm="1">
        <f t="array" ref="O75">IFERROR(AVERAGE(IF((ContinuousStatsTable[GroupByKey]=ContinuousStatsTable[[#This Row],[GroupByKey]]),(ContinuousStatsTable[GroupByKey]=ContinuousStatsTable[[#This Row],[GroupByKey]])*ContinuousStatsTable[Average])),0)</f>
        <v>3</v>
      </c>
      <c r="P75" s="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s="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s="5" cm="1">
        <f t="array" ref="S75">MIN(IF((ContinuousStatsTable[GroupByKey]=ContinuousStatsTable[[#This Row],[GroupByKey]]),(ContinuousStatsTable[GroupByKey]=ContinuousStatsTable[[#This Row],[GroupByKey]])*ContinuousStatsTable[Average]))</f>
        <v>3</v>
      </c>
      <c r="T75" s="5" cm="1">
        <f t="array" ref="T75">MAX(IF((ContinuousStatsTable[GroupByKey]=ContinuousStatsTable[[#This Row],[GroupByKey]]),(ContinuousStatsTable[GroupByKey]=ContinuousStatsTable[[#This Row],[GroupByKey]])*ContinuousStatsTable[Average]))</f>
        <v>3</v>
      </c>
      <c r="U75" s="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69</v>
      </c>
      <c r="C76">
        <v>15</v>
      </c>
      <c r="D76" t="s">
        <v>78</v>
      </c>
      <c r="E76" t="s">
        <v>87</v>
      </c>
      <c r="F76" t="s">
        <v>80</v>
      </c>
      <c r="G76">
        <v>1.7837724267029401E-2</v>
      </c>
      <c r="H76">
        <v>2E+20</v>
      </c>
      <c r="I76">
        <v>0</v>
      </c>
      <c r="J76">
        <v>2</v>
      </c>
      <c r="K76">
        <v>0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76" s="5" cm="1">
        <f t="array" ref="N76">MAX(IF((ProjectInfoTable[ProjectName]=ContinuousStatsTable[[#This Row],[ProjectName]]),(ProjectInfoTable[ProjectName]=ContinuousStatsTable[[#This Row],[ProjectName]])*ProjectInfoTable[NumberOfReplications]))</f>
        <v>15</v>
      </c>
      <c r="O76" s="5" cm="1">
        <f t="array" ref="O76">IFERROR(AVERAGE(IF((ContinuousStatsTable[GroupByKey]=ContinuousStatsTable[[#This Row],[GroupByKey]]),(ContinuousStatsTable[GroupByKey]=ContinuousStatsTable[[#This Row],[GroupByKey]])*ContinuousStatsTable[Average])),0)</f>
        <v>3.5922440131245965E-2</v>
      </c>
      <c r="P76" s="5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2.6927906502440924E-2</v>
      </c>
      <c r="Q76" s="5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1.4912177574036362E-2</v>
      </c>
      <c r="S76" s="5" cm="1">
        <f t="array" ref="S76">MIN(IF((ContinuousStatsTable[GroupByKey]=ContinuousStatsTable[[#This Row],[GroupByKey]]),(ContinuousStatsTable[GroupByKey]=ContinuousStatsTable[[#This Row],[GroupByKey]])*ContinuousStatsTable[Average]))</f>
        <v>1.73231027184055E-3</v>
      </c>
      <c r="T76" s="5" cm="1">
        <f t="array" ref="T76">MAX(IF((ContinuousStatsTable[GroupByKey]=ContinuousStatsTable[[#This Row],[GroupByKey]]),(ContinuousStatsTable[GroupByKey]=ContinuousStatsTable[[#This Row],[GroupByKey]])*ContinuousStatsTable[Average]))</f>
        <v>0.10147907072585501</v>
      </c>
      <c r="U76" s="5">
        <f>IF((ContinuousStatsTable[[#This Row],[RepsRequested]]&gt;1),ContinuousStatsTable[[#This Row],[HalfWidth]],ContinuousStatsTable[[#This Row],[BatchMeansHalfWidth]])</f>
        <v>1.4912177574036362E-2</v>
      </c>
    </row>
  </sheetData>
  <phoneticPr fontId="2" type="noConversion"/>
  <conditionalFormatting sqref="H2:H76">
    <cfRule type="expression" dxfId="42" priority="9">
      <formula>H2=200000000000000000000</formula>
    </cfRule>
  </conditionalFormatting>
  <conditionalFormatting sqref="H2:H76">
    <cfRule type="expression" dxfId="41" priority="7">
      <formula>H2=300000000000000000000</formula>
    </cfRule>
  </conditionalFormatting>
  <conditionalFormatting sqref="M2:U76">
    <cfRule type="expression" dxfId="40" priority="5">
      <formula>MOD(ROW(),2)=0</formula>
    </cfRule>
  </conditionalFormatting>
  <conditionalFormatting sqref="U2:U76">
    <cfRule type="expression" dxfId="39" priority="3">
      <formula>U2=200000000000000000000</formula>
    </cfRule>
    <cfRule type="expression" dxfId="38" priority="4">
      <formula>U2=300000000000000000000</formula>
    </cfRule>
  </conditionalFormatting>
  <conditionalFormatting sqref="R2:R76 U2:U76">
    <cfRule type="expression" dxfId="37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6.109375" bestFit="1" customWidth="1"/>
    <col min="8" max="8" width="13.6640625" bestFit="1" customWidth="1"/>
    <col min="9" max="9" width="16.21875" bestFit="1" customWidth="1"/>
    <col min="10" max="10" width="10.109375" bestFit="1" customWidth="1"/>
    <col min="11" max="11" width="19" bestFit="1" customWidth="1"/>
    <col min="12" max="12" width="19.44140625" bestFit="1" customWidth="1"/>
    <col min="13" max="13" width="11.6640625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36" priority="2">
      <formula>MOD(ROW(),2)=0</formula>
    </cfRule>
  </conditionalFormatting>
  <conditionalFormatting sqref="M2">
    <cfRule type="expression" dxfId="35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76"/>
  <sheetViews>
    <sheetView workbookViewId="0">
      <selection activeCell="A2" sqref="A2:H3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21.88671875" bestFit="1" customWidth="1"/>
    <col min="5" max="5" width="18.21875" bestFit="1" customWidth="1"/>
    <col min="6" max="6" width="9" bestFit="1" customWidth="1"/>
    <col min="7" max="7" width="16.109375" bestFit="1" customWidth="1"/>
    <col min="8" max="8" width="11.33203125" bestFit="1" customWidth="1"/>
    <col min="9" max="9" width="61.5546875" bestFit="1" customWidth="1"/>
    <col min="10" max="10" width="16.21875" bestFit="1" customWidth="1"/>
    <col min="11" max="11" width="12" bestFit="1" customWidth="1"/>
    <col min="12" max="12" width="19" bestFit="1" customWidth="1"/>
    <col min="13" max="13" width="19.44140625" bestFit="1" customWidth="1"/>
    <col min="14" max="16" width="12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69</v>
      </c>
      <c r="C2">
        <v>1</v>
      </c>
      <c r="D2" t="s">
        <v>88</v>
      </c>
      <c r="E2" t="s">
        <v>89</v>
      </c>
      <c r="F2" t="s">
        <v>72</v>
      </c>
      <c r="G2">
        <v>89</v>
      </c>
      <c r="H2">
        <v>0</v>
      </c>
      <c r="I2" t="str">
        <f>OutputTable[[#This Row],[ProjectName]]&amp;OutputTable[[#This Row],[Name]]&amp;OutputTable[[#This Row],[Type]]&amp;OutputTable[[#This Row],[Source]]</f>
        <v>Unnamed ProjectEntity 1.NumberInNumber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15</v>
      </c>
      <c r="K2" cm="1">
        <f t="array" ref="K2">IFERROR(AVERAGE(IF((OutputTable[GroupByKey]=OutputTable[[#This Row],[GroupByKey]]),(OutputTable[GroupByKey]=OutputTable[[#This Row],[GroupByKey]])*OutputTable[RecordedValue])),0)</f>
        <v>96.066666666666663</v>
      </c>
      <c r="L2" cm="1">
        <f t="array" ref="L2">IFERROR(_xlfn.STDEV.S(IF((OutputTable[GroupByKey]=OutputTable[[#This Row],[GroupByKey]]),(OutputTable[GroupByKey]=OutputTable[[#This Row],[GroupByKey]])*OutputTable[RecordedValue])),0)</f>
        <v>9.1843552279069058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2" cm="1">
        <f t="array" ref="O2">MIN(IF((OutputTable[GroupByKey]=OutputTable[[#This Row],[GroupByKey]]),(OutputTable[GroupByKey]=OutputTable[[#This Row],[GroupByKey]])*OutputTable[RecordedValue]))</f>
        <v>82</v>
      </c>
      <c r="P2" cm="1">
        <f t="array" ref="P2">MAX(IF((OutputTable[GroupByKey]=OutputTable[[#This Row],[GroupByKey]]),(OutputTable[GroupByKey]=OutputTable[[#This Row],[GroupByKey]])*OutputTable[RecordedValue]))</f>
        <v>116</v>
      </c>
    </row>
    <row r="3" spans="1:16" x14ac:dyDescent="0.3">
      <c r="A3" t="s">
        <v>66</v>
      </c>
      <c r="B3" t="s">
        <v>69</v>
      </c>
      <c r="C3">
        <v>1</v>
      </c>
      <c r="D3" t="s">
        <v>90</v>
      </c>
      <c r="E3" t="s">
        <v>91</v>
      </c>
      <c r="F3" t="s">
        <v>72</v>
      </c>
      <c r="G3">
        <v>89</v>
      </c>
      <c r="H3">
        <v>0</v>
      </c>
      <c r="I3" t="str">
        <f>OutputTable[[#This Row],[ProjectName]]&amp;OutputTable[[#This Row],[Name]]&amp;OutputTable[[#This Row],[Type]]&amp;OutputTable[[#This Row],[Source]]</f>
        <v>Unnamed ProjectEntity 1.NumberOutNumber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15</v>
      </c>
      <c r="K3" cm="1">
        <f t="array" ref="K3">IFERROR(AVERAGE(IF((OutputTable[GroupByKey]=OutputTable[[#This Row],[GroupByKey]]),(OutputTable[GroupByKey]=OutputTable[[#This Row],[GroupByKey]])*OutputTable[RecordedValue])),0)</f>
        <v>95.2</v>
      </c>
      <c r="L3" cm="1">
        <f t="array" ref="L3">IFERROR(_xlfn.STDEV.S(IF((OutputTable[GroupByKey]=OutputTable[[#This Row],[GroupByKey]]),(OutputTable[GroupByKey]=OutputTable[[#This Row],[GroupByKey]])*OutputTable[RecordedValue])),0)</f>
        <v>9.3059120993054751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3" cm="1">
        <f t="array" ref="O3">MIN(IF((OutputTable[GroupByKey]=OutputTable[[#This Row],[GroupByKey]]),(OutputTable[GroupByKey]=OutputTable[[#This Row],[GroupByKey]])*OutputTable[RecordedValue]))</f>
        <v>81</v>
      </c>
      <c r="P3" cm="1">
        <f t="array" ref="P3">MAX(IF((OutputTable[GroupByKey]=OutputTable[[#This Row],[GroupByKey]]),(OutputTable[GroupByKey]=OutputTable[[#This Row],[GroupByKey]])*OutputTable[RecordedValue]))</f>
        <v>116</v>
      </c>
    </row>
    <row r="4" spans="1:16" x14ac:dyDescent="0.3">
      <c r="A4" t="s">
        <v>66</v>
      </c>
      <c r="B4" t="s">
        <v>69</v>
      </c>
      <c r="C4">
        <v>1</v>
      </c>
      <c r="D4" t="s">
        <v>92</v>
      </c>
      <c r="E4" t="s">
        <v>93</v>
      </c>
      <c r="F4" t="s">
        <v>84</v>
      </c>
      <c r="G4">
        <v>89</v>
      </c>
      <c r="H4">
        <v>0</v>
      </c>
      <c r="I4" t="str">
        <f>OutputTable[[#This Row],[ProjectName]]&amp;OutputTable[[#This Row],[Name]]&amp;OutputTable[[#This Row],[Type]]&amp;OutputTable[[#This Row],[Source]]</f>
        <v>Unnamed ProjectGise.NumberSeizedTotal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15</v>
      </c>
      <c r="K4" cm="1">
        <f t="array" ref="K4">IFERROR(AVERAGE(IF((OutputTable[GroupByKey]=OutputTable[[#This Row],[GroupByKey]]),(OutputTable[GroupByKey]=OutputTable[[#This Row],[GroupByKey]])*OutputTable[RecordedValue])),0)</f>
        <v>96.066666666666663</v>
      </c>
      <c r="L4" cm="1">
        <f t="array" ref="L4">IFERROR(_xlfn.STDEV.S(IF((OutputTable[GroupByKey]=OutputTable[[#This Row],[GroupByKey]]),(OutputTable[GroupByKey]=OutputTable[[#This Row],[GroupByKey]])*OutputTable[RecordedValue])),0)</f>
        <v>9.1843552279069058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4" cm="1">
        <f t="array" ref="O4">MIN(IF((OutputTable[GroupByKey]=OutputTable[[#This Row],[GroupByKey]]),(OutputTable[GroupByKey]=OutputTable[[#This Row],[GroupByKey]])*OutputTable[RecordedValue]))</f>
        <v>82</v>
      </c>
      <c r="P4" cm="1">
        <f t="array" ref="P4">MAX(IF((OutputTable[GroupByKey]=OutputTable[[#This Row],[GroupByKey]]),(OutputTable[GroupByKey]=OutputTable[[#This Row],[GroupByKey]])*OutputTable[RecordedValue]))</f>
        <v>116</v>
      </c>
    </row>
    <row r="5" spans="1:16" x14ac:dyDescent="0.3">
      <c r="A5" t="s">
        <v>66</v>
      </c>
      <c r="B5" t="s">
        <v>69</v>
      </c>
      <c r="C5">
        <v>1</v>
      </c>
      <c r="D5" t="s">
        <v>94</v>
      </c>
      <c r="E5" t="s">
        <v>95</v>
      </c>
      <c r="F5" t="s">
        <v>84</v>
      </c>
      <c r="G5">
        <v>0.34638321894525598</v>
      </c>
      <c r="H5">
        <v>0</v>
      </c>
      <c r="I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15</v>
      </c>
      <c r="K5" cm="1">
        <f t="array" ref="K5">IFERROR(AVERAGE(IF((OutputTable[GroupByKey]=OutputTable[[#This Row],[GroupByKey]]),(OutputTable[GroupByKey]=OutputTable[[#This Row],[GroupByKey]])*OutputTable[RecordedValue])),0)</f>
        <v>0.35538558845326462</v>
      </c>
      <c r="L5" cm="1">
        <f t="array" ref="L5">IFERROR(_xlfn.STDEV.S(IF((OutputTable[GroupByKey]=OutputTable[[#This Row],[GroupByKey]]),(OutputTable[GroupByKey]=OutputTable[[#This Row],[GroupByKey]])*OutputTable[RecordedValue])),0)</f>
        <v>3.5995680767676681E-2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1.9933743585200857E-2</v>
      </c>
      <c r="O5" cm="1">
        <f t="array" ref="O5">MIN(IF((OutputTable[GroupByKey]=OutputTable[[#This Row],[GroupByKey]]),(OutputTable[GroupByKey]=OutputTable[[#This Row],[GroupByKey]])*OutputTable[RecordedValue]))</f>
        <v>0.29520999449618501</v>
      </c>
      <c r="P5" cm="1">
        <f t="array" ref="P5">MAX(IF((OutputTable[GroupByKey]=OutputTable[[#This Row],[GroupByKey]]),(OutputTable[GroupByKey]=OutputTable[[#This Row],[GroupByKey]])*OutputTable[RecordedValue]))</f>
        <v>0.43628573463419201</v>
      </c>
    </row>
    <row r="6" spans="1:16" x14ac:dyDescent="0.3">
      <c r="A6" t="s">
        <v>66</v>
      </c>
      <c r="B6" t="s">
        <v>69</v>
      </c>
      <c r="C6">
        <v>1</v>
      </c>
      <c r="D6" t="s">
        <v>96</v>
      </c>
      <c r="E6" t="s">
        <v>91</v>
      </c>
      <c r="F6" t="s">
        <v>97</v>
      </c>
      <c r="G6">
        <v>89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15</v>
      </c>
      <c r="K6" cm="1">
        <f t="array" ref="K6">IFERROR(AVERAGE(IF((OutputTable[GroupByKey]=OutputTable[[#This Row],[GroupByKey]]),(OutputTable[GroupByKey]=OutputTable[[#This Row],[GroupByKey]])*OutputTable[RecordedValue])),0)</f>
        <v>95.2</v>
      </c>
      <c r="L6" cm="1">
        <f t="array" ref="L6">IFERROR(_xlfn.STDEV.S(IF((OutputTable[GroupByKey]=OutputTable[[#This Row],[GroupByKey]]),(OutputTable[GroupByKey]=OutputTable[[#This Row],[GroupByKey]])*OutputTable[RecordedValue])),0)</f>
        <v>9.3059120993054751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6" cm="1">
        <f t="array" ref="O6">MIN(IF((OutputTable[GroupByKey]=OutputTable[[#This Row],[GroupByKey]]),(OutputTable[GroupByKey]=OutputTable[[#This Row],[GroupByKey]])*OutputTable[RecordedValue]))</f>
        <v>81</v>
      </c>
      <c r="P6" cm="1">
        <f t="array" ref="P6">MAX(IF((OutputTable[GroupByKey]=OutputTable[[#This Row],[GroupByKey]]),(OutputTable[GroupByKey]=OutputTable[[#This Row],[GroupByKey]])*OutputTable[RecordedValue]))</f>
        <v>116</v>
      </c>
    </row>
    <row r="7" spans="1:16" x14ac:dyDescent="0.3">
      <c r="A7" t="s">
        <v>66</v>
      </c>
      <c r="B7" t="s">
        <v>69</v>
      </c>
      <c r="C7">
        <v>2</v>
      </c>
      <c r="D7" t="s">
        <v>88</v>
      </c>
      <c r="E7" t="s">
        <v>89</v>
      </c>
      <c r="F7" t="s">
        <v>72</v>
      </c>
      <c r="G7">
        <v>104</v>
      </c>
      <c r="H7">
        <v>0</v>
      </c>
      <c r="I7" t="str">
        <f>OutputTable[[#This Row],[ProjectName]]&amp;OutputTable[[#This Row],[Name]]&amp;OutputTable[[#This Row],[Type]]&amp;OutputTable[[#This Row],[Source]]</f>
        <v>Unnamed ProjectEntity 1.NumberInNumber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15</v>
      </c>
      <c r="K7" cm="1">
        <f t="array" ref="K7">IFERROR(AVERAGE(IF((OutputTable[GroupByKey]=OutputTable[[#This Row],[GroupByKey]]),(OutputTable[GroupByKey]=OutputTable[[#This Row],[GroupByKey]])*OutputTable[RecordedValue])),0)</f>
        <v>96.066666666666663</v>
      </c>
      <c r="L7" cm="1">
        <f t="array" ref="L7">IFERROR(_xlfn.STDEV.S(IF((OutputTable[GroupByKey]=OutputTable[[#This Row],[GroupByKey]]),(OutputTable[GroupByKey]=OutputTable[[#This Row],[GroupByKey]])*OutputTable[RecordedValue])),0)</f>
        <v>9.1843552279069058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7" cm="1">
        <f t="array" ref="O7">MIN(IF((OutputTable[GroupByKey]=OutputTable[[#This Row],[GroupByKey]]),(OutputTable[GroupByKey]=OutputTable[[#This Row],[GroupByKey]])*OutputTable[RecordedValue]))</f>
        <v>82</v>
      </c>
      <c r="P7" cm="1">
        <f t="array" ref="P7">MAX(IF((OutputTable[GroupByKey]=OutputTable[[#This Row],[GroupByKey]]),(OutputTable[GroupByKey]=OutputTable[[#This Row],[GroupByKey]])*OutputTable[RecordedValue]))</f>
        <v>116</v>
      </c>
    </row>
    <row r="8" spans="1:16" x14ac:dyDescent="0.3">
      <c r="A8" t="s">
        <v>66</v>
      </c>
      <c r="B8" t="s">
        <v>69</v>
      </c>
      <c r="C8">
        <v>2</v>
      </c>
      <c r="D8" t="s">
        <v>90</v>
      </c>
      <c r="E8" t="s">
        <v>91</v>
      </c>
      <c r="F8" t="s">
        <v>72</v>
      </c>
      <c r="G8">
        <v>104</v>
      </c>
      <c r="H8">
        <v>0</v>
      </c>
      <c r="I8" t="str">
        <f>OutputTable[[#This Row],[ProjectName]]&amp;OutputTable[[#This Row],[Name]]&amp;OutputTable[[#This Row],[Type]]&amp;OutputTable[[#This Row],[Source]]</f>
        <v>Unnamed ProjectEntity 1.NumberOutNumber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15</v>
      </c>
      <c r="K8" cm="1">
        <f t="array" ref="K8">IFERROR(AVERAGE(IF((OutputTable[GroupByKey]=OutputTable[[#This Row],[GroupByKey]]),(OutputTable[GroupByKey]=OutputTable[[#This Row],[GroupByKey]])*OutputTable[RecordedValue])),0)</f>
        <v>95.2</v>
      </c>
      <c r="L8" cm="1">
        <f t="array" ref="L8">IFERROR(_xlfn.STDEV.S(IF((OutputTable[GroupByKey]=OutputTable[[#This Row],[GroupByKey]]),(OutputTable[GroupByKey]=OutputTable[[#This Row],[GroupByKey]])*OutputTable[RecordedValue])),0)</f>
        <v>9.3059120993054751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8" cm="1">
        <f t="array" ref="O8">MIN(IF((OutputTable[GroupByKey]=OutputTable[[#This Row],[GroupByKey]]),(OutputTable[GroupByKey]=OutputTable[[#This Row],[GroupByKey]])*OutputTable[RecordedValue]))</f>
        <v>81</v>
      </c>
      <c r="P8" cm="1">
        <f t="array" ref="P8">MAX(IF((OutputTable[GroupByKey]=OutputTable[[#This Row],[GroupByKey]]),(OutputTable[GroupByKey]=OutputTable[[#This Row],[GroupByKey]])*OutputTable[RecordedValue]))</f>
        <v>116</v>
      </c>
    </row>
    <row r="9" spans="1:16" x14ac:dyDescent="0.3">
      <c r="A9" t="s">
        <v>66</v>
      </c>
      <c r="B9" t="s">
        <v>69</v>
      </c>
      <c r="C9">
        <v>2</v>
      </c>
      <c r="D9" t="s">
        <v>92</v>
      </c>
      <c r="E9" t="s">
        <v>93</v>
      </c>
      <c r="F9" t="s">
        <v>84</v>
      </c>
      <c r="G9">
        <v>104</v>
      </c>
      <c r="H9">
        <v>0</v>
      </c>
      <c r="I9" t="str">
        <f>OutputTable[[#This Row],[ProjectName]]&amp;OutputTable[[#This Row],[Name]]&amp;OutputTable[[#This Row],[Type]]&amp;OutputTable[[#This Row],[Source]]</f>
        <v>Unnamed ProjectGise.NumberSeizedTotal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15</v>
      </c>
      <c r="K9" cm="1">
        <f t="array" ref="K9">IFERROR(AVERAGE(IF((OutputTable[GroupByKey]=OutputTable[[#This Row],[GroupByKey]]),(OutputTable[GroupByKey]=OutputTable[[#This Row],[GroupByKey]])*OutputTable[RecordedValue])),0)</f>
        <v>96.066666666666663</v>
      </c>
      <c r="L9" cm="1">
        <f t="array" ref="L9">IFERROR(_xlfn.STDEV.S(IF((OutputTable[GroupByKey]=OutputTable[[#This Row],[GroupByKey]]),(OutputTable[GroupByKey]=OutputTable[[#This Row],[GroupByKey]])*OutputTable[RecordedValue])),0)</f>
        <v>9.1843552279069058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9" cm="1">
        <f t="array" ref="O9">MIN(IF((OutputTable[GroupByKey]=OutputTable[[#This Row],[GroupByKey]]),(OutputTable[GroupByKey]=OutputTable[[#This Row],[GroupByKey]])*OutputTable[RecordedValue]))</f>
        <v>82</v>
      </c>
      <c r="P9" cm="1">
        <f t="array" ref="P9">MAX(IF((OutputTable[GroupByKey]=OutputTable[[#This Row],[GroupByKey]]),(OutputTable[GroupByKey]=OutputTable[[#This Row],[GroupByKey]])*OutputTable[RecordedValue]))</f>
        <v>116</v>
      </c>
    </row>
    <row r="10" spans="1:16" x14ac:dyDescent="0.3">
      <c r="A10" t="s">
        <v>66</v>
      </c>
      <c r="B10" t="s">
        <v>69</v>
      </c>
      <c r="C10">
        <v>2</v>
      </c>
      <c r="D10" t="s">
        <v>94</v>
      </c>
      <c r="E10" t="s">
        <v>95</v>
      </c>
      <c r="F10" t="s">
        <v>84</v>
      </c>
      <c r="G10">
        <v>0.39313134868701599</v>
      </c>
      <c r="H10">
        <v>0</v>
      </c>
      <c r="I10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15</v>
      </c>
      <c r="K10" cm="1">
        <f t="array" ref="K10">IFERROR(AVERAGE(IF((OutputTable[GroupByKey]=OutputTable[[#This Row],[GroupByKey]]),(OutputTable[GroupByKey]=OutputTable[[#This Row],[GroupByKey]])*OutputTable[RecordedValue])),0)</f>
        <v>0.35538558845326462</v>
      </c>
      <c r="L10" cm="1">
        <f t="array" ref="L10">IFERROR(_xlfn.STDEV.S(IF((OutputTable[GroupByKey]=OutputTable[[#This Row],[GroupByKey]]),(OutputTable[GroupByKey]=OutputTable[[#This Row],[GroupByKey]])*OutputTable[RecordedValue])),0)</f>
        <v>3.5995680767676681E-2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1.9933743585200857E-2</v>
      </c>
      <c r="O10" cm="1">
        <f t="array" ref="O10">MIN(IF((OutputTable[GroupByKey]=OutputTable[[#This Row],[GroupByKey]]),(OutputTable[GroupByKey]=OutputTable[[#This Row],[GroupByKey]])*OutputTable[RecordedValue]))</f>
        <v>0.29520999449618501</v>
      </c>
      <c r="P10" cm="1">
        <f t="array" ref="P10">MAX(IF((OutputTable[GroupByKey]=OutputTable[[#This Row],[GroupByKey]]),(OutputTable[GroupByKey]=OutputTable[[#This Row],[GroupByKey]])*OutputTable[RecordedValue]))</f>
        <v>0.43628573463419201</v>
      </c>
    </row>
    <row r="11" spans="1:16" x14ac:dyDescent="0.3">
      <c r="A11" t="s">
        <v>66</v>
      </c>
      <c r="B11" t="s">
        <v>69</v>
      </c>
      <c r="C11">
        <v>2</v>
      </c>
      <c r="D11" t="s">
        <v>96</v>
      </c>
      <c r="E11" t="s">
        <v>91</v>
      </c>
      <c r="F11" t="s">
        <v>97</v>
      </c>
      <c r="G11">
        <v>104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15</v>
      </c>
      <c r="K11" cm="1">
        <f t="array" ref="K11">IFERROR(AVERAGE(IF((OutputTable[GroupByKey]=OutputTable[[#This Row],[GroupByKey]]),(OutputTable[GroupByKey]=OutputTable[[#This Row],[GroupByKey]])*OutputTable[RecordedValue])),0)</f>
        <v>95.2</v>
      </c>
      <c r="L11" cm="1">
        <f t="array" ref="L11">IFERROR(_xlfn.STDEV.S(IF((OutputTable[GroupByKey]=OutputTable[[#This Row],[GroupByKey]]),(OutputTable[GroupByKey]=OutputTable[[#This Row],[GroupByKey]])*OutputTable[RecordedValue])),0)</f>
        <v>9.3059120993054751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11" cm="1">
        <f t="array" ref="O11">MIN(IF((OutputTable[GroupByKey]=OutputTable[[#This Row],[GroupByKey]]),(OutputTable[GroupByKey]=OutputTable[[#This Row],[GroupByKey]])*OutputTable[RecordedValue]))</f>
        <v>81</v>
      </c>
      <c r="P11" cm="1">
        <f t="array" ref="P11">MAX(IF((OutputTable[GroupByKey]=OutputTable[[#This Row],[GroupByKey]]),(OutputTable[GroupByKey]=OutputTable[[#This Row],[GroupByKey]])*OutputTable[RecordedValue]))</f>
        <v>116</v>
      </c>
    </row>
    <row r="12" spans="1:16" x14ac:dyDescent="0.3">
      <c r="A12" t="s">
        <v>66</v>
      </c>
      <c r="B12" t="s">
        <v>69</v>
      </c>
      <c r="C12">
        <v>3</v>
      </c>
      <c r="D12" t="s">
        <v>88</v>
      </c>
      <c r="E12" t="s">
        <v>89</v>
      </c>
      <c r="F12" t="s">
        <v>72</v>
      </c>
      <c r="G12">
        <v>116</v>
      </c>
      <c r="H12">
        <v>0</v>
      </c>
      <c r="I12" t="str">
        <f>OutputTable[[#This Row],[ProjectName]]&amp;OutputTable[[#This Row],[Name]]&amp;OutputTable[[#This Row],[Type]]&amp;OutputTable[[#This Row],[Source]]</f>
        <v>Unnamed ProjectEntity 1.NumberInNumber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15</v>
      </c>
      <c r="K12" cm="1">
        <f t="array" ref="K12">IFERROR(AVERAGE(IF((OutputTable[GroupByKey]=OutputTable[[#This Row],[GroupByKey]]),(OutputTable[GroupByKey]=OutputTable[[#This Row],[GroupByKey]])*OutputTable[RecordedValue])),0)</f>
        <v>96.066666666666663</v>
      </c>
      <c r="L12" cm="1">
        <f t="array" ref="L12">IFERROR(_xlfn.STDEV.S(IF((OutputTable[GroupByKey]=OutputTable[[#This Row],[GroupByKey]]),(OutputTable[GroupByKey]=OutputTable[[#This Row],[GroupByKey]])*OutputTable[RecordedValue])),0)</f>
        <v>9.1843552279069058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12" cm="1">
        <f t="array" ref="O12">MIN(IF((OutputTable[GroupByKey]=OutputTable[[#This Row],[GroupByKey]]),(OutputTable[GroupByKey]=OutputTable[[#This Row],[GroupByKey]])*OutputTable[RecordedValue]))</f>
        <v>82</v>
      </c>
      <c r="P12" cm="1">
        <f t="array" ref="P12">MAX(IF((OutputTable[GroupByKey]=OutputTable[[#This Row],[GroupByKey]]),(OutputTable[GroupByKey]=OutputTable[[#This Row],[GroupByKey]])*OutputTable[RecordedValue]))</f>
        <v>116</v>
      </c>
    </row>
    <row r="13" spans="1:16" x14ac:dyDescent="0.3">
      <c r="A13" t="s">
        <v>66</v>
      </c>
      <c r="B13" t="s">
        <v>69</v>
      </c>
      <c r="C13">
        <v>3</v>
      </c>
      <c r="D13" t="s">
        <v>90</v>
      </c>
      <c r="E13" t="s">
        <v>91</v>
      </c>
      <c r="F13" t="s">
        <v>72</v>
      </c>
      <c r="G13">
        <v>116</v>
      </c>
      <c r="H13">
        <v>0</v>
      </c>
      <c r="I13" t="str">
        <f>OutputTable[[#This Row],[ProjectName]]&amp;OutputTable[[#This Row],[Name]]&amp;OutputTable[[#This Row],[Type]]&amp;OutputTable[[#This Row],[Source]]</f>
        <v>Unnamed ProjectEntity 1.NumberOutNumber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15</v>
      </c>
      <c r="K13" cm="1">
        <f t="array" ref="K13">IFERROR(AVERAGE(IF((OutputTable[GroupByKey]=OutputTable[[#This Row],[GroupByKey]]),(OutputTable[GroupByKey]=OutputTable[[#This Row],[GroupByKey]])*OutputTable[RecordedValue])),0)</f>
        <v>95.2</v>
      </c>
      <c r="L13" cm="1">
        <f t="array" ref="L13">IFERROR(_xlfn.STDEV.S(IF((OutputTable[GroupByKey]=OutputTable[[#This Row],[GroupByKey]]),(OutputTable[GroupByKey]=OutputTable[[#This Row],[GroupByKey]])*OutputTable[RecordedValue])),0)</f>
        <v>9.3059120993054751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13" cm="1">
        <f t="array" ref="O13">MIN(IF((OutputTable[GroupByKey]=OutputTable[[#This Row],[GroupByKey]]),(OutputTable[GroupByKey]=OutputTable[[#This Row],[GroupByKey]])*OutputTable[RecordedValue]))</f>
        <v>81</v>
      </c>
      <c r="P13" cm="1">
        <f t="array" ref="P13">MAX(IF((OutputTable[GroupByKey]=OutputTable[[#This Row],[GroupByKey]]),(OutputTable[GroupByKey]=OutputTable[[#This Row],[GroupByKey]])*OutputTable[RecordedValue]))</f>
        <v>116</v>
      </c>
    </row>
    <row r="14" spans="1:16" x14ac:dyDescent="0.3">
      <c r="A14" t="s">
        <v>66</v>
      </c>
      <c r="B14" t="s">
        <v>69</v>
      </c>
      <c r="C14">
        <v>3</v>
      </c>
      <c r="D14" t="s">
        <v>92</v>
      </c>
      <c r="E14" t="s">
        <v>93</v>
      </c>
      <c r="F14" t="s">
        <v>84</v>
      </c>
      <c r="G14">
        <v>116</v>
      </c>
      <c r="H14">
        <v>0</v>
      </c>
      <c r="I14" t="str">
        <f>OutputTable[[#This Row],[ProjectName]]&amp;OutputTable[[#This Row],[Name]]&amp;OutputTable[[#This Row],[Type]]&amp;OutputTable[[#This Row],[Source]]</f>
        <v>Unnamed ProjectGise.NumberSeizedTotal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15</v>
      </c>
      <c r="K14" cm="1">
        <f t="array" ref="K14">IFERROR(AVERAGE(IF((OutputTable[GroupByKey]=OutputTable[[#This Row],[GroupByKey]]),(OutputTable[GroupByKey]=OutputTable[[#This Row],[GroupByKey]])*OutputTable[RecordedValue])),0)</f>
        <v>96.066666666666663</v>
      </c>
      <c r="L14" cm="1">
        <f t="array" ref="L14">IFERROR(_xlfn.STDEV.S(IF((OutputTable[GroupByKey]=OutputTable[[#This Row],[GroupByKey]]),(OutputTable[GroupByKey]=OutputTable[[#This Row],[GroupByKey]])*OutputTable[RecordedValue])),0)</f>
        <v>9.1843552279069058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14" cm="1">
        <f t="array" ref="O14">MIN(IF((OutputTable[GroupByKey]=OutputTable[[#This Row],[GroupByKey]]),(OutputTable[GroupByKey]=OutputTable[[#This Row],[GroupByKey]])*OutputTable[RecordedValue]))</f>
        <v>82</v>
      </c>
      <c r="P14" cm="1">
        <f t="array" ref="P14">MAX(IF((OutputTable[GroupByKey]=OutputTable[[#This Row],[GroupByKey]]),(OutputTable[GroupByKey]=OutputTable[[#This Row],[GroupByKey]])*OutputTable[RecordedValue]))</f>
        <v>116</v>
      </c>
    </row>
    <row r="15" spans="1:16" x14ac:dyDescent="0.3">
      <c r="A15" t="s">
        <v>66</v>
      </c>
      <c r="B15" t="s">
        <v>69</v>
      </c>
      <c r="C15">
        <v>3</v>
      </c>
      <c r="D15" t="s">
        <v>94</v>
      </c>
      <c r="E15" t="s">
        <v>95</v>
      </c>
      <c r="F15" t="s">
        <v>84</v>
      </c>
      <c r="G15">
        <v>0.43628573463419201</v>
      </c>
      <c r="H15">
        <v>0</v>
      </c>
      <c r="I1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15</v>
      </c>
      <c r="K15" cm="1">
        <f t="array" ref="K15">IFERROR(AVERAGE(IF((OutputTable[GroupByKey]=OutputTable[[#This Row],[GroupByKey]]),(OutputTable[GroupByKey]=OutputTable[[#This Row],[GroupByKey]])*OutputTable[RecordedValue])),0)</f>
        <v>0.35538558845326462</v>
      </c>
      <c r="L15" cm="1">
        <f t="array" ref="L15">IFERROR(_xlfn.STDEV.S(IF((OutputTable[GroupByKey]=OutputTable[[#This Row],[GroupByKey]]),(OutputTable[GroupByKey]=OutputTable[[#This Row],[GroupByKey]])*OutputTable[RecordedValue])),0)</f>
        <v>3.5995680767676681E-2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1.9933743585200857E-2</v>
      </c>
      <c r="O15" cm="1">
        <f t="array" ref="O15">MIN(IF((OutputTable[GroupByKey]=OutputTable[[#This Row],[GroupByKey]]),(OutputTable[GroupByKey]=OutputTable[[#This Row],[GroupByKey]])*OutputTable[RecordedValue]))</f>
        <v>0.29520999449618501</v>
      </c>
      <c r="P15" cm="1">
        <f t="array" ref="P15">MAX(IF((OutputTable[GroupByKey]=OutputTable[[#This Row],[GroupByKey]]),(OutputTable[GroupByKey]=OutputTable[[#This Row],[GroupByKey]])*OutputTable[RecordedValue]))</f>
        <v>0.43628573463419201</v>
      </c>
    </row>
    <row r="16" spans="1:16" x14ac:dyDescent="0.3">
      <c r="A16" t="s">
        <v>66</v>
      </c>
      <c r="B16" t="s">
        <v>69</v>
      </c>
      <c r="C16">
        <v>3</v>
      </c>
      <c r="D16" t="s">
        <v>96</v>
      </c>
      <c r="E16" t="s">
        <v>91</v>
      </c>
      <c r="F16" t="s">
        <v>97</v>
      </c>
      <c r="G16">
        <v>116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15</v>
      </c>
      <c r="K16" cm="1">
        <f t="array" ref="K16">IFERROR(AVERAGE(IF((OutputTable[GroupByKey]=OutputTable[[#This Row],[GroupByKey]]),(OutputTable[GroupByKey]=OutputTable[[#This Row],[GroupByKey]])*OutputTable[RecordedValue])),0)</f>
        <v>95.2</v>
      </c>
      <c r="L16" cm="1">
        <f t="array" ref="L16">IFERROR(_xlfn.STDEV.S(IF((OutputTable[GroupByKey]=OutputTable[[#This Row],[GroupByKey]]),(OutputTable[GroupByKey]=OutputTable[[#This Row],[GroupByKey]])*OutputTable[RecordedValue])),0)</f>
        <v>9.3059120993054751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16" cm="1">
        <f t="array" ref="O16">MIN(IF((OutputTable[GroupByKey]=OutputTable[[#This Row],[GroupByKey]]),(OutputTable[GroupByKey]=OutputTable[[#This Row],[GroupByKey]])*OutputTable[RecordedValue]))</f>
        <v>81</v>
      </c>
      <c r="P16" cm="1">
        <f t="array" ref="P16">MAX(IF((OutputTable[GroupByKey]=OutputTable[[#This Row],[GroupByKey]]),(OutputTable[GroupByKey]=OutputTable[[#This Row],[GroupByKey]])*OutputTable[RecordedValue]))</f>
        <v>116</v>
      </c>
    </row>
    <row r="17" spans="1:16" x14ac:dyDescent="0.3">
      <c r="A17" t="s">
        <v>66</v>
      </c>
      <c r="B17" t="s">
        <v>69</v>
      </c>
      <c r="C17">
        <v>4</v>
      </c>
      <c r="D17" t="s">
        <v>88</v>
      </c>
      <c r="E17" t="s">
        <v>89</v>
      </c>
      <c r="F17" t="s">
        <v>72</v>
      </c>
      <c r="G17">
        <v>100</v>
      </c>
      <c r="H17">
        <v>0</v>
      </c>
      <c r="I17" t="str">
        <f>OutputTable[[#This Row],[ProjectName]]&amp;OutputTable[[#This Row],[Name]]&amp;OutputTable[[#This Row],[Type]]&amp;OutputTable[[#This Row],[Source]]</f>
        <v>Unnamed ProjectEntity 1.NumberInNumber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15</v>
      </c>
      <c r="K17" cm="1">
        <f t="array" ref="K17">IFERROR(AVERAGE(IF((OutputTable[GroupByKey]=OutputTable[[#This Row],[GroupByKey]]),(OutputTable[GroupByKey]=OutputTable[[#This Row],[GroupByKey]])*OutputTable[RecordedValue])),0)</f>
        <v>96.066666666666663</v>
      </c>
      <c r="L17" cm="1">
        <f t="array" ref="L17">IFERROR(_xlfn.STDEV.S(IF((OutputTable[GroupByKey]=OutputTable[[#This Row],[GroupByKey]]),(OutputTable[GroupByKey]=OutputTable[[#This Row],[GroupByKey]])*OutputTable[RecordedValue])),0)</f>
        <v>9.1843552279069058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17" cm="1">
        <f t="array" ref="O17">MIN(IF((OutputTable[GroupByKey]=OutputTable[[#This Row],[GroupByKey]]),(OutputTable[GroupByKey]=OutputTable[[#This Row],[GroupByKey]])*OutputTable[RecordedValue]))</f>
        <v>82</v>
      </c>
      <c r="P17" cm="1">
        <f t="array" ref="P17">MAX(IF((OutputTable[GroupByKey]=OutputTable[[#This Row],[GroupByKey]]),(OutputTable[GroupByKey]=OutputTable[[#This Row],[GroupByKey]])*OutputTable[RecordedValue]))</f>
        <v>116</v>
      </c>
    </row>
    <row r="18" spans="1:16" x14ac:dyDescent="0.3">
      <c r="A18" t="s">
        <v>66</v>
      </c>
      <c r="B18" t="s">
        <v>69</v>
      </c>
      <c r="C18">
        <v>4</v>
      </c>
      <c r="D18" t="s">
        <v>90</v>
      </c>
      <c r="E18" t="s">
        <v>91</v>
      </c>
      <c r="F18" t="s">
        <v>72</v>
      </c>
      <c r="G18">
        <v>98</v>
      </c>
      <c r="H18">
        <v>0</v>
      </c>
      <c r="I18" t="str">
        <f>OutputTable[[#This Row],[ProjectName]]&amp;OutputTable[[#This Row],[Name]]&amp;OutputTable[[#This Row],[Type]]&amp;OutputTable[[#This Row],[Source]]</f>
        <v>Unnamed ProjectEntity 1.NumberOutNumber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15</v>
      </c>
      <c r="K18" cm="1">
        <f t="array" ref="K18">IFERROR(AVERAGE(IF((OutputTable[GroupByKey]=OutputTable[[#This Row],[GroupByKey]]),(OutputTable[GroupByKey]=OutputTable[[#This Row],[GroupByKey]])*OutputTable[RecordedValue])),0)</f>
        <v>95.2</v>
      </c>
      <c r="L18" cm="1">
        <f t="array" ref="L18">IFERROR(_xlfn.STDEV.S(IF((OutputTable[GroupByKey]=OutputTable[[#This Row],[GroupByKey]]),(OutputTable[GroupByKey]=OutputTable[[#This Row],[GroupByKey]])*OutputTable[RecordedValue])),0)</f>
        <v>9.3059120993054751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18" cm="1">
        <f t="array" ref="O18">MIN(IF((OutputTable[GroupByKey]=OutputTable[[#This Row],[GroupByKey]]),(OutputTable[GroupByKey]=OutputTable[[#This Row],[GroupByKey]])*OutputTable[RecordedValue]))</f>
        <v>81</v>
      </c>
      <c r="P18" cm="1">
        <f t="array" ref="P18">MAX(IF((OutputTable[GroupByKey]=OutputTable[[#This Row],[GroupByKey]]),(OutputTable[GroupByKey]=OutputTable[[#This Row],[GroupByKey]])*OutputTable[RecordedValue]))</f>
        <v>116</v>
      </c>
    </row>
    <row r="19" spans="1:16" x14ac:dyDescent="0.3">
      <c r="A19" t="s">
        <v>66</v>
      </c>
      <c r="B19" t="s">
        <v>69</v>
      </c>
      <c r="C19">
        <v>4</v>
      </c>
      <c r="D19" t="s">
        <v>92</v>
      </c>
      <c r="E19" t="s">
        <v>93</v>
      </c>
      <c r="F19" t="s">
        <v>84</v>
      </c>
      <c r="G19">
        <v>100</v>
      </c>
      <c r="H19">
        <v>0</v>
      </c>
      <c r="I19" t="str">
        <f>OutputTable[[#This Row],[ProjectName]]&amp;OutputTable[[#This Row],[Name]]&amp;OutputTable[[#This Row],[Type]]&amp;OutputTable[[#This Row],[Source]]</f>
        <v>Unnamed ProjectGise.NumberSeizedTotal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15</v>
      </c>
      <c r="K19" cm="1">
        <f t="array" ref="K19">IFERROR(AVERAGE(IF((OutputTable[GroupByKey]=OutputTable[[#This Row],[GroupByKey]]),(OutputTable[GroupByKey]=OutputTable[[#This Row],[GroupByKey]])*OutputTable[RecordedValue])),0)</f>
        <v>96.066666666666663</v>
      </c>
      <c r="L19" cm="1">
        <f t="array" ref="L19">IFERROR(_xlfn.STDEV.S(IF((OutputTable[GroupByKey]=OutputTable[[#This Row],[GroupByKey]]),(OutputTable[GroupByKey]=OutputTable[[#This Row],[GroupByKey]])*OutputTable[RecordedValue])),0)</f>
        <v>9.1843552279069058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19" cm="1">
        <f t="array" ref="O19">MIN(IF((OutputTable[GroupByKey]=OutputTable[[#This Row],[GroupByKey]]),(OutputTable[GroupByKey]=OutputTable[[#This Row],[GroupByKey]])*OutputTable[RecordedValue]))</f>
        <v>82</v>
      </c>
      <c r="P19" cm="1">
        <f t="array" ref="P19">MAX(IF((OutputTable[GroupByKey]=OutputTable[[#This Row],[GroupByKey]]),(OutputTable[GroupByKey]=OutputTable[[#This Row],[GroupByKey]])*OutputTable[RecordedValue]))</f>
        <v>116</v>
      </c>
    </row>
    <row r="20" spans="1:16" x14ac:dyDescent="0.3">
      <c r="A20" t="s">
        <v>66</v>
      </c>
      <c r="B20" t="s">
        <v>69</v>
      </c>
      <c r="C20">
        <v>4</v>
      </c>
      <c r="D20" t="s">
        <v>94</v>
      </c>
      <c r="E20" t="s">
        <v>95</v>
      </c>
      <c r="F20" t="s">
        <v>84</v>
      </c>
      <c r="G20">
        <v>0.37697675535078001</v>
      </c>
      <c r="H20">
        <v>0</v>
      </c>
      <c r="I20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15</v>
      </c>
      <c r="K20" cm="1">
        <f t="array" ref="K20">IFERROR(AVERAGE(IF((OutputTable[GroupByKey]=OutputTable[[#This Row],[GroupByKey]]),(OutputTable[GroupByKey]=OutputTable[[#This Row],[GroupByKey]])*OutputTable[RecordedValue])),0)</f>
        <v>0.35538558845326462</v>
      </c>
      <c r="L20" cm="1">
        <f t="array" ref="L20">IFERROR(_xlfn.STDEV.S(IF((OutputTable[GroupByKey]=OutputTable[[#This Row],[GroupByKey]]),(OutputTable[GroupByKey]=OutputTable[[#This Row],[GroupByKey]])*OutputTable[RecordedValue])),0)</f>
        <v>3.5995680767676681E-2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1.9933743585200857E-2</v>
      </c>
      <c r="O20" cm="1">
        <f t="array" ref="O20">MIN(IF((OutputTable[GroupByKey]=OutputTable[[#This Row],[GroupByKey]]),(OutputTable[GroupByKey]=OutputTable[[#This Row],[GroupByKey]])*OutputTable[RecordedValue]))</f>
        <v>0.29520999449618501</v>
      </c>
      <c r="P20" cm="1">
        <f t="array" ref="P20">MAX(IF((OutputTable[GroupByKey]=OutputTable[[#This Row],[GroupByKey]]),(OutputTable[GroupByKey]=OutputTable[[#This Row],[GroupByKey]])*OutputTable[RecordedValue]))</f>
        <v>0.43628573463419201</v>
      </c>
    </row>
    <row r="21" spans="1:16" x14ac:dyDescent="0.3">
      <c r="A21" t="s">
        <v>66</v>
      </c>
      <c r="B21" t="s">
        <v>69</v>
      </c>
      <c r="C21">
        <v>4</v>
      </c>
      <c r="D21" t="s">
        <v>96</v>
      </c>
      <c r="E21" t="s">
        <v>91</v>
      </c>
      <c r="F21" t="s">
        <v>97</v>
      </c>
      <c r="G21">
        <v>98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15</v>
      </c>
      <c r="K21" cm="1">
        <f t="array" ref="K21">IFERROR(AVERAGE(IF((OutputTable[GroupByKey]=OutputTable[[#This Row],[GroupByKey]]),(OutputTable[GroupByKey]=OutputTable[[#This Row],[GroupByKey]])*OutputTable[RecordedValue])),0)</f>
        <v>95.2</v>
      </c>
      <c r="L21" cm="1">
        <f t="array" ref="L21">IFERROR(_xlfn.STDEV.S(IF((OutputTable[GroupByKey]=OutputTable[[#This Row],[GroupByKey]]),(OutputTable[GroupByKey]=OutputTable[[#This Row],[GroupByKey]])*OutputTable[RecordedValue])),0)</f>
        <v>9.3059120993054751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21" cm="1">
        <f t="array" ref="O21">MIN(IF((OutputTable[GroupByKey]=OutputTable[[#This Row],[GroupByKey]]),(OutputTable[GroupByKey]=OutputTable[[#This Row],[GroupByKey]])*OutputTable[RecordedValue]))</f>
        <v>81</v>
      </c>
      <c r="P21" cm="1">
        <f t="array" ref="P21">MAX(IF((OutputTable[GroupByKey]=OutputTable[[#This Row],[GroupByKey]]),(OutputTable[GroupByKey]=OutputTable[[#This Row],[GroupByKey]])*OutputTable[RecordedValue]))</f>
        <v>116</v>
      </c>
    </row>
    <row r="22" spans="1:16" x14ac:dyDescent="0.3">
      <c r="A22" t="s">
        <v>66</v>
      </c>
      <c r="B22" t="s">
        <v>69</v>
      </c>
      <c r="C22">
        <v>5</v>
      </c>
      <c r="D22" t="s">
        <v>88</v>
      </c>
      <c r="E22" t="s">
        <v>89</v>
      </c>
      <c r="F22" t="s">
        <v>72</v>
      </c>
      <c r="G22">
        <v>105</v>
      </c>
      <c r="H22">
        <v>0</v>
      </c>
      <c r="I22" t="str">
        <f>OutputTable[[#This Row],[ProjectName]]&amp;OutputTable[[#This Row],[Name]]&amp;OutputTable[[#This Row],[Type]]&amp;OutputTable[[#This Row],[Source]]</f>
        <v>Unnamed ProjectEntity 1.NumberInNumber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15</v>
      </c>
      <c r="K22" cm="1">
        <f t="array" ref="K22">IFERROR(AVERAGE(IF((OutputTable[GroupByKey]=OutputTable[[#This Row],[GroupByKey]]),(OutputTable[GroupByKey]=OutputTable[[#This Row],[GroupByKey]])*OutputTable[RecordedValue])),0)</f>
        <v>96.066666666666663</v>
      </c>
      <c r="L22" cm="1">
        <f t="array" ref="L22">IFERROR(_xlfn.STDEV.S(IF((OutputTable[GroupByKey]=OutputTable[[#This Row],[GroupByKey]]),(OutputTable[GroupByKey]=OutputTable[[#This Row],[GroupByKey]])*OutputTable[RecordedValue])),0)</f>
        <v>9.1843552279069058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22" cm="1">
        <f t="array" ref="O22">MIN(IF((OutputTable[GroupByKey]=OutputTable[[#This Row],[GroupByKey]]),(OutputTable[GroupByKey]=OutputTable[[#This Row],[GroupByKey]])*OutputTable[RecordedValue]))</f>
        <v>82</v>
      </c>
      <c r="P22" cm="1">
        <f t="array" ref="P22">MAX(IF((OutputTable[GroupByKey]=OutputTable[[#This Row],[GroupByKey]]),(OutputTable[GroupByKey]=OutputTable[[#This Row],[GroupByKey]])*OutputTable[RecordedValue]))</f>
        <v>116</v>
      </c>
    </row>
    <row r="23" spans="1:16" x14ac:dyDescent="0.3">
      <c r="A23" t="s">
        <v>66</v>
      </c>
      <c r="B23" t="s">
        <v>69</v>
      </c>
      <c r="C23">
        <v>5</v>
      </c>
      <c r="D23" t="s">
        <v>90</v>
      </c>
      <c r="E23" t="s">
        <v>91</v>
      </c>
      <c r="F23" t="s">
        <v>72</v>
      </c>
      <c r="G23">
        <v>104</v>
      </c>
      <c r="H23">
        <v>0</v>
      </c>
      <c r="I23" t="str">
        <f>OutputTable[[#This Row],[ProjectName]]&amp;OutputTable[[#This Row],[Name]]&amp;OutputTable[[#This Row],[Type]]&amp;OutputTable[[#This Row],[Source]]</f>
        <v>Unnamed ProjectEntity 1.NumberOutNumber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15</v>
      </c>
      <c r="K23" cm="1">
        <f t="array" ref="K23">IFERROR(AVERAGE(IF((OutputTable[GroupByKey]=OutputTable[[#This Row],[GroupByKey]]),(OutputTable[GroupByKey]=OutputTable[[#This Row],[GroupByKey]])*OutputTable[RecordedValue])),0)</f>
        <v>95.2</v>
      </c>
      <c r="L23" cm="1">
        <f t="array" ref="L23">IFERROR(_xlfn.STDEV.S(IF((OutputTable[GroupByKey]=OutputTable[[#This Row],[GroupByKey]]),(OutputTable[GroupByKey]=OutputTable[[#This Row],[GroupByKey]])*OutputTable[RecordedValue])),0)</f>
        <v>9.3059120993054751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23" cm="1">
        <f t="array" ref="O23">MIN(IF((OutputTable[GroupByKey]=OutputTable[[#This Row],[GroupByKey]]),(OutputTable[GroupByKey]=OutputTable[[#This Row],[GroupByKey]])*OutputTable[RecordedValue]))</f>
        <v>81</v>
      </c>
      <c r="P23" cm="1">
        <f t="array" ref="P23">MAX(IF((OutputTable[GroupByKey]=OutputTable[[#This Row],[GroupByKey]]),(OutputTable[GroupByKey]=OutputTable[[#This Row],[GroupByKey]])*OutputTable[RecordedValue]))</f>
        <v>116</v>
      </c>
    </row>
    <row r="24" spans="1:16" x14ac:dyDescent="0.3">
      <c r="A24" t="s">
        <v>66</v>
      </c>
      <c r="B24" t="s">
        <v>69</v>
      </c>
      <c r="C24">
        <v>5</v>
      </c>
      <c r="D24" t="s">
        <v>92</v>
      </c>
      <c r="E24" t="s">
        <v>93</v>
      </c>
      <c r="F24" t="s">
        <v>84</v>
      </c>
      <c r="G24">
        <v>105</v>
      </c>
      <c r="H24">
        <v>0</v>
      </c>
      <c r="I24" t="str">
        <f>OutputTable[[#This Row],[ProjectName]]&amp;OutputTable[[#This Row],[Name]]&amp;OutputTable[[#This Row],[Type]]&amp;OutputTable[[#This Row],[Source]]</f>
        <v>Unnamed ProjectGise.NumberSeizedTotal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15</v>
      </c>
      <c r="K24" cm="1">
        <f t="array" ref="K24">IFERROR(AVERAGE(IF((OutputTable[GroupByKey]=OutputTable[[#This Row],[GroupByKey]]),(OutputTable[GroupByKey]=OutputTable[[#This Row],[GroupByKey]])*OutputTable[RecordedValue])),0)</f>
        <v>96.066666666666663</v>
      </c>
      <c r="L24" cm="1">
        <f t="array" ref="L24">IFERROR(_xlfn.STDEV.S(IF((OutputTable[GroupByKey]=OutputTable[[#This Row],[GroupByKey]]),(OutputTable[GroupByKey]=OutputTable[[#This Row],[GroupByKey]])*OutputTable[RecordedValue])),0)</f>
        <v>9.1843552279069058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24" cm="1">
        <f t="array" ref="O24">MIN(IF((OutputTable[GroupByKey]=OutputTable[[#This Row],[GroupByKey]]),(OutputTable[GroupByKey]=OutputTable[[#This Row],[GroupByKey]])*OutputTable[RecordedValue]))</f>
        <v>82</v>
      </c>
      <c r="P24" cm="1">
        <f t="array" ref="P24">MAX(IF((OutputTable[GroupByKey]=OutputTable[[#This Row],[GroupByKey]]),(OutputTable[GroupByKey]=OutputTable[[#This Row],[GroupByKey]])*OutputTable[RecordedValue]))</f>
        <v>116</v>
      </c>
    </row>
    <row r="25" spans="1:16" x14ac:dyDescent="0.3">
      <c r="A25" t="s">
        <v>66</v>
      </c>
      <c r="B25" t="s">
        <v>69</v>
      </c>
      <c r="C25">
        <v>5</v>
      </c>
      <c r="D25" t="s">
        <v>94</v>
      </c>
      <c r="E25" t="s">
        <v>95</v>
      </c>
      <c r="F25" t="s">
        <v>84</v>
      </c>
      <c r="G25">
        <v>0.372178956795647</v>
      </c>
      <c r="H25">
        <v>0</v>
      </c>
      <c r="I2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15</v>
      </c>
      <c r="K25" cm="1">
        <f t="array" ref="K25">IFERROR(AVERAGE(IF((OutputTable[GroupByKey]=OutputTable[[#This Row],[GroupByKey]]),(OutputTable[GroupByKey]=OutputTable[[#This Row],[GroupByKey]])*OutputTable[RecordedValue])),0)</f>
        <v>0.35538558845326462</v>
      </c>
      <c r="L25" cm="1">
        <f t="array" ref="L25">IFERROR(_xlfn.STDEV.S(IF((OutputTable[GroupByKey]=OutputTable[[#This Row],[GroupByKey]]),(OutputTable[GroupByKey]=OutputTable[[#This Row],[GroupByKey]])*OutputTable[RecordedValue])),0)</f>
        <v>3.5995680767676681E-2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1.9933743585200857E-2</v>
      </c>
      <c r="O25" cm="1">
        <f t="array" ref="O25">MIN(IF((OutputTable[GroupByKey]=OutputTable[[#This Row],[GroupByKey]]),(OutputTable[GroupByKey]=OutputTable[[#This Row],[GroupByKey]])*OutputTable[RecordedValue]))</f>
        <v>0.29520999449618501</v>
      </c>
      <c r="P25" cm="1">
        <f t="array" ref="P25">MAX(IF((OutputTable[GroupByKey]=OutputTable[[#This Row],[GroupByKey]]),(OutputTable[GroupByKey]=OutputTable[[#This Row],[GroupByKey]])*OutputTable[RecordedValue]))</f>
        <v>0.43628573463419201</v>
      </c>
    </row>
    <row r="26" spans="1:16" x14ac:dyDescent="0.3">
      <c r="A26" t="s">
        <v>66</v>
      </c>
      <c r="B26" t="s">
        <v>69</v>
      </c>
      <c r="C26">
        <v>5</v>
      </c>
      <c r="D26" t="s">
        <v>96</v>
      </c>
      <c r="E26" t="s">
        <v>91</v>
      </c>
      <c r="F26" t="s">
        <v>97</v>
      </c>
      <c r="G26">
        <v>104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15</v>
      </c>
      <c r="K26" cm="1">
        <f t="array" ref="K26">IFERROR(AVERAGE(IF((OutputTable[GroupByKey]=OutputTable[[#This Row],[GroupByKey]]),(OutputTable[GroupByKey]=OutputTable[[#This Row],[GroupByKey]])*OutputTable[RecordedValue])),0)</f>
        <v>95.2</v>
      </c>
      <c r="L26" cm="1">
        <f t="array" ref="L26">IFERROR(_xlfn.STDEV.S(IF((OutputTable[GroupByKey]=OutputTable[[#This Row],[GroupByKey]]),(OutputTable[GroupByKey]=OutputTable[[#This Row],[GroupByKey]])*OutputTable[RecordedValue])),0)</f>
        <v>9.3059120993054751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26" cm="1">
        <f t="array" ref="O26">MIN(IF((OutputTable[GroupByKey]=OutputTable[[#This Row],[GroupByKey]]),(OutputTable[GroupByKey]=OutputTable[[#This Row],[GroupByKey]])*OutputTable[RecordedValue]))</f>
        <v>81</v>
      </c>
      <c r="P26" cm="1">
        <f t="array" ref="P26">MAX(IF((OutputTable[GroupByKey]=OutputTable[[#This Row],[GroupByKey]]),(OutputTable[GroupByKey]=OutputTable[[#This Row],[GroupByKey]])*OutputTable[RecordedValue]))</f>
        <v>116</v>
      </c>
    </row>
    <row r="27" spans="1:16" x14ac:dyDescent="0.3">
      <c r="A27" t="s">
        <v>66</v>
      </c>
      <c r="B27" t="s">
        <v>69</v>
      </c>
      <c r="C27">
        <v>6</v>
      </c>
      <c r="D27" t="s">
        <v>88</v>
      </c>
      <c r="E27" t="s">
        <v>89</v>
      </c>
      <c r="F27" t="s">
        <v>72</v>
      </c>
      <c r="G27">
        <v>98</v>
      </c>
      <c r="H27">
        <v>0</v>
      </c>
      <c r="I27" t="str">
        <f>OutputTable[[#This Row],[ProjectName]]&amp;OutputTable[[#This Row],[Name]]&amp;OutputTable[[#This Row],[Type]]&amp;OutputTable[[#This Row],[Source]]</f>
        <v>Unnamed ProjectEntity 1.NumberInNumber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15</v>
      </c>
      <c r="K27" cm="1">
        <f t="array" ref="K27">IFERROR(AVERAGE(IF((OutputTable[GroupByKey]=OutputTable[[#This Row],[GroupByKey]]),(OutputTable[GroupByKey]=OutputTable[[#This Row],[GroupByKey]])*OutputTable[RecordedValue])),0)</f>
        <v>96.066666666666663</v>
      </c>
      <c r="L27" cm="1">
        <f t="array" ref="L27">IFERROR(_xlfn.STDEV.S(IF((OutputTable[GroupByKey]=OutputTable[[#This Row],[GroupByKey]]),(OutputTable[GroupByKey]=OutputTable[[#This Row],[GroupByKey]])*OutputTable[RecordedValue])),0)</f>
        <v>9.1843552279069058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27" cm="1">
        <f t="array" ref="O27">MIN(IF((OutputTable[GroupByKey]=OutputTable[[#This Row],[GroupByKey]]),(OutputTable[GroupByKey]=OutputTable[[#This Row],[GroupByKey]])*OutputTable[RecordedValue]))</f>
        <v>82</v>
      </c>
      <c r="P27" cm="1">
        <f t="array" ref="P27">MAX(IF((OutputTable[GroupByKey]=OutputTable[[#This Row],[GroupByKey]]),(OutputTable[GroupByKey]=OutputTable[[#This Row],[GroupByKey]])*OutputTable[RecordedValue]))</f>
        <v>116</v>
      </c>
    </row>
    <row r="28" spans="1:16" x14ac:dyDescent="0.3">
      <c r="A28" t="s">
        <v>66</v>
      </c>
      <c r="B28" t="s">
        <v>69</v>
      </c>
      <c r="C28">
        <v>6</v>
      </c>
      <c r="D28" t="s">
        <v>90</v>
      </c>
      <c r="E28" t="s">
        <v>91</v>
      </c>
      <c r="F28" t="s">
        <v>72</v>
      </c>
      <c r="G28">
        <v>98</v>
      </c>
      <c r="H28">
        <v>0</v>
      </c>
      <c r="I28" t="str">
        <f>OutputTable[[#This Row],[ProjectName]]&amp;OutputTable[[#This Row],[Name]]&amp;OutputTable[[#This Row],[Type]]&amp;OutputTable[[#This Row],[Source]]</f>
        <v>Unnamed ProjectEntity 1.NumberOutNumber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15</v>
      </c>
      <c r="K28" cm="1">
        <f t="array" ref="K28">IFERROR(AVERAGE(IF((OutputTable[GroupByKey]=OutputTable[[#This Row],[GroupByKey]]),(OutputTable[GroupByKey]=OutputTable[[#This Row],[GroupByKey]])*OutputTable[RecordedValue])),0)</f>
        <v>95.2</v>
      </c>
      <c r="L28" cm="1">
        <f t="array" ref="L28">IFERROR(_xlfn.STDEV.S(IF((OutputTable[GroupByKey]=OutputTable[[#This Row],[GroupByKey]]),(OutputTable[GroupByKey]=OutputTable[[#This Row],[GroupByKey]])*OutputTable[RecordedValue])),0)</f>
        <v>9.3059120993054751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28" cm="1">
        <f t="array" ref="O28">MIN(IF((OutputTable[GroupByKey]=OutputTable[[#This Row],[GroupByKey]]),(OutputTable[GroupByKey]=OutputTable[[#This Row],[GroupByKey]])*OutputTable[RecordedValue]))</f>
        <v>81</v>
      </c>
      <c r="P28" cm="1">
        <f t="array" ref="P28">MAX(IF((OutputTable[GroupByKey]=OutputTable[[#This Row],[GroupByKey]]),(OutputTable[GroupByKey]=OutputTable[[#This Row],[GroupByKey]])*OutputTable[RecordedValue]))</f>
        <v>116</v>
      </c>
    </row>
    <row r="29" spans="1:16" x14ac:dyDescent="0.3">
      <c r="A29" t="s">
        <v>66</v>
      </c>
      <c r="B29" t="s">
        <v>69</v>
      </c>
      <c r="C29">
        <v>6</v>
      </c>
      <c r="D29" t="s">
        <v>92</v>
      </c>
      <c r="E29" t="s">
        <v>93</v>
      </c>
      <c r="F29" t="s">
        <v>84</v>
      </c>
      <c r="G29">
        <v>98</v>
      </c>
      <c r="H29">
        <v>0</v>
      </c>
      <c r="I29" t="str">
        <f>OutputTable[[#This Row],[ProjectName]]&amp;OutputTable[[#This Row],[Name]]&amp;OutputTable[[#This Row],[Type]]&amp;OutputTable[[#This Row],[Source]]</f>
        <v>Unnamed ProjectGise.NumberSeizedTotal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15</v>
      </c>
      <c r="K29" cm="1">
        <f t="array" ref="K29">IFERROR(AVERAGE(IF((OutputTable[GroupByKey]=OutputTable[[#This Row],[GroupByKey]]),(OutputTable[GroupByKey]=OutputTable[[#This Row],[GroupByKey]])*OutputTable[RecordedValue])),0)</f>
        <v>96.066666666666663</v>
      </c>
      <c r="L29" cm="1">
        <f t="array" ref="L29">IFERROR(_xlfn.STDEV.S(IF((OutputTable[GroupByKey]=OutputTable[[#This Row],[GroupByKey]]),(OutputTable[GroupByKey]=OutputTable[[#This Row],[GroupByKey]])*OutputTable[RecordedValue])),0)</f>
        <v>9.1843552279069058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29" cm="1">
        <f t="array" ref="O29">MIN(IF((OutputTable[GroupByKey]=OutputTable[[#This Row],[GroupByKey]]),(OutputTable[GroupByKey]=OutputTable[[#This Row],[GroupByKey]])*OutputTable[RecordedValue]))</f>
        <v>82</v>
      </c>
      <c r="P29" cm="1">
        <f t="array" ref="P29">MAX(IF((OutputTable[GroupByKey]=OutputTable[[#This Row],[GroupByKey]]),(OutputTable[GroupByKey]=OutputTable[[#This Row],[GroupByKey]])*OutputTable[RecordedValue]))</f>
        <v>116</v>
      </c>
    </row>
    <row r="30" spans="1:16" x14ac:dyDescent="0.3">
      <c r="A30" t="s">
        <v>66</v>
      </c>
      <c r="B30" t="s">
        <v>69</v>
      </c>
      <c r="C30">
        <v>6</v>
      </c>
      <c r="D30" t="s">
        <v>94</v>
      </c>
      <c r="E30" t="s">
        <v>95</v>
      </c>
      <c r="F30" t="s">
        <v>84</v>
      </c>
      <c r="G30">
        <v>0.370655125955556</v>
      </c>
      <c r="H30">
        <v>0</v>
      </c>
      <c r="I30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15</v>
      </c>
      <c r="K30" cm="1">
        <f t="array" ref="K30">IFERROR(AVERAGE(IF((OutputTable[GroupByKey]=OutputTable[[#This Row],[GroupByKey]]),(OutputTable[GroupByKey]=OutputTable[[#This Row],[GroupByKey]])*OutputTable[RecordedValue])),0)</f>
        <v>0.35538558845326462</v>
      </c>
      <c r="L30" cm="1">
        <f t="array" ref="L30">IFERROR(_xlfn.STDEV.S(IF((OutputTable[GroupByKey]=OutputTable[[#This Row],[GroupByKey]]),(OutputTable[GroupByKey]=OutputTable[[#This Row],[GroupByKey]])*OutputTable[RecordedValue])),0)</f>
        <v>3.5995680767676681E-2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1.9933743585200857E-2</v>
      </c>
      <c r="O30" cm="1">
        <f t="array" ref="O30">MIN(IF((OutputTable[GroupByKey]=OutputTable[[#This Row],[GroupByKey]]),(OutputTable[GroupByKey]=OutputTable[[#This Row],[GroupByKey]])*OutputTable[RecordedValue]))</f>
        <v>0.29520999449618501</v>
      </c>
      <c r="P30" cm="1">
        <f t="array" ref="P30">MAX(IF((OutputTable[GroupByKey]=OutputTable[[#This Row],[GroupByKey]]),(OutputTable[GroupByKey]=OutputTable[[#This Row],[GroupByKey]])*OutputTable[RecordedValue]))</f>
        <v>0.43628573463419201</v>
      </c>
    </row>
    <row r="31" spans="1:16" x14ac:dyDescent="0.3">
      <c r="A31" t="s">
        <v>66</v>
      </c>
      <c r="B31" t="s">
        <v>69</v>
      </c>
      <c r="C31">
        <v>6</v>
      </c>
      <c r="D31" t="s">
        <v>96</v>
      </c>
      <c r="E31" t="s">
        <v>91</v>
      </c>
      <c r="F31" t="s">
        <v>97</v>
      </c>
      <c r="G31">
        <v>98</v>
      </c>
      <c r="H31">
        <v>0</v>
      </c>
      <c r="I31" t="str">
        <f>OutputTable[[#This Row],[ProjectName]]&amp;OutputTable[[#This Row],[Name]]&amp;OutputTable[[#This Row],[Type]]&amp;OutputTable[[#This Row],[Source]]</f>
        <v>Unnamed ProjectSystem.NumberOutNumber OutSystem</v>
      </c>
      <c r="J31" cm="1">
        <f t="array" ref="J31">MAX(IF((ProjectInfoTable[ProjectName]=OutputTable[[#This Row],[ProjectName]]),(ProjectInfoTable[ProjectName]=OutputTable[[#This Row],[ProjectName]])*ProjectInfoTable[NumberOfReplications]))</f>
        <v>15</v>
      </c>
      <c r="K31" cm="1">
        <f t="array" ref="K31">IFERROR(AVERAGE(IF((OutputTable[GroupByKey]=OutputTable[[#This Row],[GroupByKey]]),(OutputTable[GroupByKey]=OutputTable[[#This Row],[GroupByKey]])*OutputTable[RecordedValue])),0)</f>
        <v>95.2</v>
      </c>
      <c r="L31" cm="1">
        <f t="array" ref="L31">IFERROR(_xlfn.STDEV.S(IF((OutputTable[GroupByKey]=OutputTable[[#This Row],[GroupByKey]]),(OutputTable[GroupByKey]=OutputTable[[#This Row],[GroupByKey]])*OutputTable[RecordedValue])),0)</f>
        <v>9.3059120993054751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31" cm="1">
        <f t="array" ref="O31">MIN(IF((OutputTable[GroupByKey]=OutputTable[[#This Row],[GroupByKey]]),(OutputTable[GroupByKey]=OutputTable[[#This Row],[GroupByKey]])*OutputTable[RecordedValue]))</f>
        <v>81</v>
      </c>
      <c r="P31" cm="1">
        <f t="array" ref="P31">MAX(IF((OutputTable[GroupByKey]=OutputTable[[#This Row],[GroupByKey]]),(OutputTable[GroupByKey]=OutputTable[[#This Row],[GroupByKey]])*OutputTable[RecordedValue]))</f>
        <v>116</v>
      </c>
    </row>
    <row r="32" spans="1:16" x14ac:dyDescent="0.3">
      <c r="A32" t="s">
        <v>66</v>
      </c>
      <c r="B32" t="s">
        <v>69</v>
      </c>
      <c r="C32">
        <v>7</v>
      </c>
      <c r="D32" t="s">
        <v>88</v>
      </c>
      <c r="E32" t="s">
        <v>89</v>
      </c>
      <c r="F32" t="s">
        <v>72</v>
      </c>
      <c r="G32">
        <v>97</v>
      </c>
      <c r="H32">
        <v>0</v>
      </c>
      <c r="I32" s="5" t="str">
        <f>OutputTable[[#This Row],[ProjectName]]&amp;OutputTable[[#This Row],[Name]]&amp;OutputTable[[#This Row],[Type]]&amp;OutputTable[[#This Row],[Source]]</f>
        <v>Unnamed ProjectEntity 1.NumberInNumber InEntity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15</v>
      </c>
      <c r="K32" s="5" cm="1">
        <f t="array" ref="K32">IFERROR(AVERAGE(IF((OutputTable[GroupByKey]=OutputTable[[#This Row],[GroupByKey]]),(OutputTable[GroupByKey]=OutputTable[[#This Row],[GroupByKey]])*OutputTable[RecordedValue])),0)</f>
        <v>96.066666666666663</v>
      </c>
      <c r="L32" s="5" cm="1">
        <f t="array" ref="L32">IFERROR(_xlfn.STDEV.S(IF((OutputTable[GroupByKey]=OutputTable[[#This Row],[GroupByKey]]),(OutputTable[GroupByKey]=OutputTable[[#This Row],[GroupByKey]])*OutputTable[RecordedValue])),0)</f>
        <v>9.1843552279069058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32" s="5" cm="1">
        <f t="array" ref="O32">MIN(IF((OutputTable[GroupByKey]=OutputTable[[#This Row],[GroupByKey]]),(OutputTable[GroupByKey]=OutputTable[[#This Row],[GroupByKey]])*OutputTable[RecordedValue]))</f>
        <v>82</v>
      </c>
      <c r="P32" s="5" cm="1">
        <f t="array" ref="P32">MAX(IF((OutputTable[GroupByKey]=OutputTable[[#This Row],[GroupByKey]]),(OutputTable[GroupByKey]=OutputTable[[#This Row],[GroupByKey]])*OutputTable[RecordedValue]))</f>
        <v>116</v>
      </c>
    </row>
    <row r="33" spans="1:16" x14ac:dyDescent="0.3">
      <c r="A33" t="s">
        <v>66</v>
      </c>
      <c r="B33" t="s">
        <v>69</v>
      </c>
      <c r="C33">
        <v>7</v>
      </c>
      <c r="D33" t="s">
        <v>90</v>
      </c>
      <c r="E33" t="s">
        <v>91</v>
      </c>
      <c r="F33" t="s">
        <v>72</v>
      </c>
      <c r="G33">
        <v>97</v>
      </c>
      <c r="H33">
        <v>0</v>
      </c>
      <c r="I33" s="5" t="str">
        <f>OutputTable[[#This Row],[ProjectName]]&amp;OutputTable[[#This Row],[Name]]&amp;OutputTable[[#This Row],[Type]]&amp;OutputTable[[#This Row],[Source]]</f>
        <v>Unnamed ProjectEntity 1.NumberOutNumber OutEntity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15</v>
      </c>
      <c r="K33" s="5" cm="1">
        <f t="array" ref="K33">IFERROR(AVERAGE(IF((OutputTable[GroupByKey]=OutputTable[[#This Row],[GroupByKey]]),(OutputTable[GroupByKey]=OutputTable[[#This Row],[GroupByKey]])*OutputTable[RecordedValue])),0)</f>
        <v>95.2</v>
      </c>
      <c r="L33" s="5" cm="1">
        <f t="array" ref="L33">IFERROR(_xlfn.STDEV.S(IF((OutputTable[GroupByKey]=OutputTable[[#This Row],[GroupByKey]]),(OutputTable[GroupByKey]=OutputTable[[#This Row],[GroupByKey]])*OutputTable[RecordedValue])),0)</f>
        <v>9.3059120993054751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33" s="5" cm="1">
        <f t="array" ref="O33">MIN(IF((OutputTable[GroupByKey]=OutputTable[[#This Row],[GroupByKey]]),(OutputTable[GroupByKey]=OutputTable[[#This Row],[GroupByKey]])*OutputTable[RecordedValue]))</f>
        <v>81</v>
      </c>
      <c r="P33" s="5" cm="1">
        <f t="array" ref="P33">MAX(IF((OutputTable[GroupByKey]=OutputTable[[#This Row],[GroupByKey]]),(OutputTable[GroupByKey]=OutputTable[[#This Row],[GroupByKey]])*OutputTable[RecordedValue]))</f>
        <v>116</v>
      </c>
    </row>
    <row r="34" spans="1:16" x14ac:dyDescent="0.3">
      <c r="A34" t="s">
        <v>66</v>
      </c>
      <c r="B34" t="s">
        <v>69</v>
      </c>
      <c r="C34">
        <v>7</v>
      </c>
      <c r="D34" t="s">
        <v>92</v>
      </c>
      <c r="E34" t="s">
        <v>93</v>
      </c>
      <c r="F34" t="s">
        <v>84</v>
      </c>
      <c r="G34">
        <v>97</v>
      </c>
      <c r="H34">
        <v>0</v>
      </c>
      <c r="I34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15</v>
      </c>
      <c r="K34" s="5" cm="1">
        <f t="array" ref="K34">IFERROR(AVERAGE(IF((OutputTable[GroupByKey]=OutputTable[[#This Row],[GroupByKey]]),(OutputTable[GroupByKey]=OutputTable[[#This Row],[GroupByKey]])*OutputTable[RecordedValue])),0)</f>
        <v>96.066666666666663</v>
      </c>
      <c r="L34" s="5" cm="1">
        <f t="array" ref="L34">IFERROR(_xlfn.STDEV.S(IF((OutputTable[GroupByKey]=OutputTable[[#This Row],[GroupByKey]]),(OutputTable[GroupByKey]=OutputTable[[#This Row],[GroupByKey]])*OutputTable[RecordedValue])),0)</f>
        <v>9.1843552279069058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34" s="5" cm="1">
        <f t="array" ref="O34">MIN(IF((OutputTable[GroupByKey]=OutputTable[[#This Row],[GroupByKey]]),(OutputTable[GroupByKey]=OutputTable[[#This Row],[GroupByKey]])*OutputTable[RecordedValue]))</f>
        <v>82</v>
      </c>
      <c r="P34" s="5" cm="1">
        <f t="array" ref="P34">MAX(IF((OutputTable[GroupByKey]=OutputTable[[#This Row],[GroupByKey]]),(OutputTable[GroupByKey]=OutputTable[[#This Row],[GroupByKey]])*OutputTable[RecordedValue]))</f>
        <v>116</v>
      </c>
    </row>
    <row r="35" spans="1:16" x14ac:dyDescent="0.3">
      <c r="A35" t="s">
        <v>66</v>
      </c>
      <c r="B35" t="s">
        <v>69</v>
      </c>
      <c r="C35">
        <v>7</v>
      </c>
      <c r="D35" t="s">
        <v>94</v>
      </c>
      <c r="E35" t="s">
        <v>95</v>
      </c>
      <c r="F35" t="s">
        <v>84</v>
      </c>
      <c r="G35">
        <v>0.372030054993295</v>
      </c>
      <c r="H35">
        <v>0</v>
      </c>
      <c r="I35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15</v>
      </c>
      <c r="K35" s="5" cm="1">
        <f t="array" ref="K35">IFERROR(AVERAGE(IF((OutputTable[GroupByKey]=OutputTable[[#This Row],[GroupByKey]]),(OutputTable[GroupByKey]=OutputTable[[#This Row],[GroupByKey]])*OutputTable[RecordedValue])),0)</f>
        <v>0.35538558845326462</v>
      </c>
      <c r="L35" s="5" cm="1">
        <f t="array" ref="L35">IFERROR(_xlfn.STDEV.S(IF((OutputTable[GroupByKey]=OutputTable[[#This Row],[GroupByKey]]),(OutputTable[GroupByKey]=OutputTable[[#This Row],[GroupByKey]])*OutputTable[RecordedValue])),0)</f>
        <v>3.5995680767676681E-2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1.9933743585200857E-2</v>
      </c>
      <c r="O35" s="5" cm="1">
        <f t="array" ref="O35">MIN(IF((OutputTable[GroupByKey]=OutputTable[[#This Row],[GroupByKey]]),(OutputTable[GroupByKey]=OutputTable[[#This Row],[GroupByKey]])*OutputTable[RecordedValue]))</f>
        <v>0.29520999449618501</v>
      </c>
      <c r="P35" s="5" cm="1">
        <f t="array" ref="P35">MAX(IF((OutputTable[GroupByKey]=OutputTable[[#This Row],[GroupByKey]]),(OutputTable[GroupByKey]=OutputTable[[#This Row],[GroupByKey]])*OutputTable[RecordedValue]))</f>
        <v>0.43628573463419201</v>
      </c>
    </row>
    <row r="36" spans="1:16" x14ac:dyDescent="0.3">
      <c r="A36" t="s">
        <v>66</v>
      </c>
      <c r="B36" t="s">
        <v>69</v>
      </c>
      <c r="C36">
        <v>7</v>
      </c>
      <c r="D36" t="s">
        <v>96</v>
      </c>
      <c r="E36" t="s">
        <v>91</v>
      </c>
      <c r="F36" t="s">
        <v>97</v>
      </c>
      <c r="G36">
        <v>97</v>
      </c>
      <c r="H36">
        <v>0</v>
      </c>
      <c r="I36" s="5" t="str">
        <f>OutputTable[[#This Row],[ProjectName]]&amp;OutputTable[[#This Row],[Name]]&amp;OutputTable[[#This Row],[Type]]&amp;OutputTable[[#This Row],[Source]]</f>
        <v>Unnamed ProjectSystem.NumberOutNumber OutSystem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15</v>
      </c>
      <c r="K36" s="5" cm="1">
        <f t="array" ref="K36">IFERROR(AVERAGE(IF((OutputTable[GroupByKey]=OutputTable[[#This Row],[GroupByKey]]),(OutputTable[GroupByKey]=OutputTable[[#This Row],[GroupByKey]])*OutputTable[RecordedValue])),0)</f>
        <v>95.2</v>
      </c>
      <c r="L36" s="5" cm="1">
        <f t="array" ref="L36">IFERROR(_xlfn.STDEV.S(IF((OutputTable[GroupByKey]=OutputTable[[#This Row],[GroupByKey]]),(OutputTable[GroupByKey]=OutputTable[[#This Row],[GroupByKey]])*OutputTable[RecordedValue])),0)</f>
        <v>9.3059120993054751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36" s="5" cm="1">
        <f t="array" ref="O36">MIN(IF((OutputTable[GroupByKey]=OutputTable[[#This Row],[GroupByKey]]),(OutputTable[GroupByKey]=OutputTable[[#This Row],[GroupByKey]])*OutputTable[RecordedValue]))</f>
        <v>81</v>
      </c>
      <c r="P36" s="5" cm="1">
        <f t="array" ref="P36">MAX(IF((OutputTable[GroupByKey]=OutputTable[[#This Row],[GroupByKey]]),(OutputTable[GroupByKey]=OutputTable[[#This Row],[GroupByKey]])*OutputTable[RecordedValue]))</f>
        <v>116</v>
      </c>
    </row>
    <row r="37" spans="1:16" x14ac:dyDescent="0.3">
      <c r="A37" t="s">
        <v>66</v>
      </c>
      <c r="B37" t="s">
        <v>69</v>
      </c>
      <c r="C37">
        <v>8</v>
      </c>
      <c r="D37" t="s">
        <v>88</v>
      </c>
      <c r="E37" t="s">
        <v>89</v>
      </c>
      <c r="F37" t="s">
        <v>72</v>
      </c>
      <c r="G37">
        <v>82</v>
      </c>
      <c r="H37">
        <v>0</v>
      </c>
      <c r="I37" s="5" t="str">
        <f>OutputTable[[#This Row],[ProjectName]]&amp;OutputTable[[#This Row],[Name]]&amp;OutputTable[[#This Row],[Type]]&amp;OutputTable[[#This Row],[Source]]</f>
        <v>Unnamed ProjectEntity 1.NumberInNumber InEntity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15</v>
      </c>
      <c r="K37" s="5" cm="1">
        <f t="array" ref="K37">IFERROR(AVERAGE(IF((OutputTable[GroupByKey]=OutputTable[[#This Row],[GroupByKey]]),(OutputTable[GroupByKey]=OutputTable[[#This Row],[GroupByKey]])*OutputTable[RecordedValue])),0)</f>
        <v>96.066666666666663</v>
      </c>
      <c r="L37" s="5" cm="1">
        <f t="array" ref="L37">IFERROR(_xlfn.STDEV.S(IF((OutputTable[GroupByKey]=OutputTable[[#This Row],[GroupByKey]]),(OutputTable[GroupByKey]=OutputTable[[#This Row],[GroupByKey]])*OutputTable[RecordedValue])),0)</f>
        <v>9.1843552279069058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37" s="5" cm="1">
        <f t="array" ref="O37">MIN(IF((OutputTable[GroupByKey]=OutputTable[[#This Row],[GroupByKey]]),(OutputTable[GroupByKey]=OutputTable[[#This Row],[GroupByKey]])*OutputTable[RecordedValue]))</f>
        <v>82</v>
      </c>
      <c r="P37" s="5" cm="1">
        <f t="array" ref="P37">MAX(IF((OutputTable[GroupByKey]=OutputTable[[#This Row],[GroupByKey]]),(OutputTable[GroupByKey]=OutputTable[[#This Row],[GroupByKey]])*OutputTable[RecordedValue]))</f>
        <v>116</v>
      </c>
    </row>
    <row r="38" spans="1:16" x14ac:dyDescent="0.3">
      <c r="A38" t="s">
        <v>66</v>
      </c>
      <c r="B38" t="s">
        <v>69</v>
      </c>
      <c r="C38">
        <v>8</v>
      </c>
      <c r="D38" t="s">
        <v>90</v>
      </c>
      <c r="E38" t="s">
        <v>91</v>
      </c>
      <c r="F38" t="s">
        <v>72</v>
      </c>
      <c r="G38">
        <v>81</v>
      </c>
      <c r="H38">
        <v>0</v>
      </c>
      <c r="I38" s="5" t="str">
        <f>OutputTable[[#This Row],[ProjectName]]&amp;OutputTable[[#This Row],[Name]]&amp;OutputTable[[#This Row],[Type]]&amp;OutputTable[[#This Row],[Source]]</f>
        <v>Unnamed ProjectEntity 1.NumberOutNumber OutEntity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15</v>
      </c>
      <c r="K38" s="5" cm="1">
        <f t="array" ref="K38">IFERROR(AVERAGE(IF((OutputTable[GroupByKey]=OutputTable[[#This Row],[GroupByKey]]),(OutputTable[GroupByKey]=OutputTable[[#This Row],[GroupByKey]])*OutputTable[RecordedValue])),0)</f>
        <v>95.2</v>
      </c>
      <c r="L38" s="5" cm="1">
        <f t="array" ref="L38">IFERROR(_xlfn.STDEV.S(IF((OutputTable[GroupByKey]=OutputTable[[#This Row],[GroupByKey]]),(OutputTable[GroupByKey]=OutputTable[[#This Row],[GroupByKey]])*OutputTable[RecordedValue])),0)</f>
        <v>9.3059120993054751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38" s="5" cm="1">
        <f t="array" ref="O38">MIN(IF((OutputTable[GroupByKey]=OutputTable[[#This Row],[GroupByKey]]),(OutputTable[GroupByKey]=OutputTable[[#This Row],[GroupByKey]])*OutputTable[RecordedValue]))</f>
        <v>81</v>
      </c>
      <c r="P38" s="5" cm="1">
        <f t="array" ref="P38">MAX(IF((OutputTable[GroupByKey]=OutputTable[[#This Row],[GroupByKey]]),(OutputTable[GroupByKey]=OutputTable[[#This Row],[GroupByKey]])*OutputTable[RecordedValue]))</f>
        <v>116</v>
      </c>
    </row>
    <row r="39" spans="1:16" x14ac:dyDescent="0.3">
      <c r="A39" t="s">
        <v>66</v>
      </c>
      <c r="B39" t="s">
        <v>69</v>
      </c>
      <c r="C39">
        <v>8</v>
      </c>
      <c r="D39" t="s">
        <v>92</v>
      </c>
      <c r="E39" t="s">
        <v>93</v>
      </c>
      <c r="F39" t="s">
        <v>84</v>
      </c>
      <c r="G39">
        <v>82</v>
      </c>
      <c r="H39">
        <v>0</v>
      </c>
      <c r="I39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15</v>
      </c>
      <c r="K39" s="5" cm="1">
        <f t="array" ref="K39">IFERROR(AVERAGE(IF((OutputTable[GroupByKey]=OutputTable[[#This Row],[GroupByKey]]),(OutputTable[GroupByKey]=OutputTable[[#This Row],[GroupByKey]])*OutputTable[RecordedValue])),0)</f>
        <v>96.066666666666663</v>
      </c>
      <c r="L39" s="5" cm="1">
        <f t="array" ref="L39">IFERROR(_xlfn.STDEV.S(IF((OutputTable[GroupByKey]=OutputTable[[#This Row],[GroupByKey]]),(OutputTable[GroupByKey]=OutputTable[[#This Row],[GroupByKey]])*OutputTable[RecordedValue])),0)</f>
        <v>9.1843552279069058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39" s="5" cm="1">
        <f t="array" ref="O39">MIN(IF((OutputTable[GroupByKey]=OutputTable[[#This Row],[GroupByKey]]),(OutputTable[GroupByKey]=OutputTable[[#This Row],[GroupByKey]])*OutputTable[RecordedValue]))</f>
        <v>82</v>
      </c>
      <c r="P39" s="5" cm="1">
        <f t="array" ref="P39">MAX(IF((OutputTable[GroupByKey]=OutputTable[[#This Row],[GroupByKey]]),(OutputTable[GroupByKey]=OutputTable[[#This Row],[GroupByKey]])*OutputTable[RecordedValue]))</f>
        <v>116</v>
      </c>
    </row>
    <row r="40" spans="1:16" x14ac:dyDescent="0.3">
      <c r="A40" t="s">
        <v>66</v>
      </c>
      <c r="B40" t="s">
        <v>69</v>
      </c>
      <c r="C40">
        <v>8</v>
      </c>
      <c r="D40" t="s">
        <v>94</v>
      </c>
      <c r="E40" t="s">
        <v>95</v>
      </c>
      <c r="F40" t="s">
        <v>84</v>
      </c>
      <c r="G40">
        <v>0.314812271755046</v>
      </c>
      <c r="H40">
        <v>0</v>
      </c>
      <c r="I40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15</v>
      </c>
      <c r="K40" s="5" cm="1">
        <f t="array" ref="K40">IFERROR(AVERAGE(IF((OutputTable[GroupByKey]=OutputTable[[#This Row],[GroupByKey]]),(OutputTable[GroupByKey]=OutputTable[[#This Row],[GroupByKey]])*OutputTable[RecordedValue])),0)</f>
        <v>0.35538558845326462</v>
      </c>
      <c r="L40" s="5" cm="1">
        <f t="array" ref="L40">IFERROR(_xlfn.STDEV.S(IF((OutputTable[GroupByKey]=OutputTable[[#This Row],[GroupByKey]]),(OutputTable[GroupByKey]=OutputTable[[#This Row],[GroupByKey]])*OutputTable[RecordedValue])),0)</f>
        <v>3.5995680767676681E-2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1.9933743585200857E-2</v>
      </c>
      <c r="O40" s="5" cm="1">
        <f t="array" ref="O40">MIN(IF((OutputTable[GroupByKey]=OutputTable[[#This Row],[GroupByKey]]),(OutputTable[GroupByKey]=OutputTable[[#This Row],[GroupByKey]])*OutputTable[RecordedValue]))</f>
        <v>0.29520999449618501</v>
      </c>
      <c r="P40" s="5" cm="1">
        <f t="array" ref="P40">MAX(IF((OutputTable[GroupByKey]=OutputTable[[#This Row],[GroupByKey]]),(OutputTable[GroupByKey]=OutputTable[[#This Row],[GroupByKey]])*OutputTable[RecordedValue]))</f>
        <v>0.43628573463419201</v>
      </c>
    </row>
    <row r="41" spans="1:16" x14ac:dyDescent="0.3">
      <c r="A41" t="s">
        <v>66</v>
      </c>
      <c r="B41" t="s">
        <v>69</v>
      </c>
      <c r="C41">
        <v>8</v>
      </c>
      <c r="D41" t="s">
        <v>96</v>
      </c>
      <c r="E41" t="s">
        <v>91</v>
      </c>
      <c r="F41" t="s">
        <v>97</v>
      </c>
      <c r="G41">
        <v>81</v>
      </c>
      <c r="H41">
        <v>0</v>
      </c>
      <c r="I41" s="5" t="str">
        <f>OutputTable[[#This Row],[ProjectName]]&amp;OutputTable[[#This Row],[Name]]&amp;OutputTable[[#This Row],[Type]]&amp;OutputTable[[#This Row],[Source]]</f>
        <v>Unnamed ProjectSystem.NumberOutNumber OutSystem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15</v>
      </c>
      <c r="K41" s="5" cm="1">
        <f t="array" ref="K41">IFERROR(AVERAGE(IF((OutputTable[GroupByKey]=OutputTable[[#This Row],[GroupByKey]]),(OutputTable[GroupByKey]=OutputTable[[#This Row],[GroupByKey]])*OutputTable[RecordedValue])),0)</f>
        <v>95.2</v>
      </c>
      <c r="L41" s="5" cm="1">
        <f t="array" ref="L41">IFERROR(_xlfn.STDEV.S(IF((OutputTable[GroupByKey]=OutputTable[[#This Row],[GroupByKey]]),(OutputTable[GroupByKey]=OutputTable[[#This Row],[GroupByKey]])*OutputTable[RecordedValue])),0)</f>
        <v>9.3059120993054751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41" s="5" cm="1">
        <f t="array" ref="O41">MIN(IF((OutputTable[GroupByKey]=OutputTable[[#This Row],[GroupByKey]]),(OutputTable[GroupByKey]=OutputTable[[#This Row],[GroupByKey]])*OutputTable[RecordedValue]))</f>
        <v>81</v>
      </c>
      <c r="P41" s="5" cm="1">
        <f t="array" ref="P41">MAX(IF((OutputTable[GroupByKey]=OutputTable[[#This Row],[GroupByKey]]),(OutputTable[GroupByKey]=OutputTable[[#This Row],[GroupByKey]])*OutputTable[RecordedValue]))</f>
        <v>116</v>
      </c>
    </row>
    <row r="42" spans="1:16" x14ac:dyDescent="0.3">
      <c r="A42" t="s">
        <v>66</v>
      </c>
      <c r="B42" t="s">
        <v>69</v>
      </c>
      <c r="C42">
        <v>9</v>
      </c>
      <c r="D42" t="s">
        <v>88</v>
      </c>
      <c r="E42" t="s">
        <v>89</v>
      </c>
      <c r="F42" t="s">
        <v>72</v>
      </c>
      <c r="G42">
        <v>96</v>
      </c>
      <c r="H42">
        <v>0</v>
      </c>
      <c r="I42" s="5" t="str">
        <f>OutputTable[[#This Row],[ProjectName]]&amp;OutputTable[[#This Row],[Name]]&amp;OutputTable[[#This Row],[Type]]&amp;OutputTable[[#This Row],[Source]]</f>
        <v>Unnamed ProjectEntity 1.NumberInNumber InEntity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15</v>
      </c>
      <c r="K42" s="5" cm="1">
        <f t="array" ref="K42">IFERROR(AVERAGE(IF((OutputTable[GroupByKey]=OutputTable[[#This Row],[GroupByKey]]),(OutputTable[GroupByKey]=OutputTable[[#This Row],[GroupByKey]])*OutputTable[RecordedValue])),0)</f>
        <v>96.066666666666663</v>
      </c>
      <c r="L42" s="5" cm="1">
        <f t="array" ref="L42">IFERROR(_xlfn.STDEV.S(IF((OutputTable[GroupByKey]=OutputTable[[#This Row],[GroupByKey]]),(OutputTable[GroupByKey]=OutputTable[[#This Row],[GroupByKey]])*OutputTable[RecordedValue])),0)</f>
        <v>9.1843552279069058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42" s="5" cm="1">
        <f t="array" ref="O42">MIN(IF((OutputTable[GroupByKey]=OutputTable[[#This Row],[GroupByKey]]),(OutputTable[GroupByKey]=OutputTable[[#This Row],[GroupByKey]])*OutputTable[RecordedValue]))</f>
        <v>82</v>
      </c>
      <c r="P42" s="5" cm="1">
        <f t="array" ref="P42">MAX(IF((OutputTable[GroupByKey]=OutputTable[[#This Row],[GroupByKey]]),(OutputTable[GroupByKey]=OutputTable[[#This Row],[GroupByKey]])*OutputTable[RecordedValue]))</f>
        <v>116</v>
      </c>
    </row>
    <row r="43" spans="1:16" x14ac:dyDescent="0.3">
      <c r="A43" t="s">
        <v>66</v>
      </c>
      <c r="B43" t="s">
        <v>69</v>
      </c>
      <c r="C43">
        <v>9</v>
      </c>
      <c r="D43" t="s">
        <v>90</v>
      </c>
      <c r="E43" t="s">
        <v>91</v>
      </c>
      <c r="F43" t="s">
        <v>72</v>
      </c>
      <c r="G43">
        <v>95</v>
      </c>
      <c r="H43">
        <v>0</v>
      </c>
      <c r="I43" s="5" t="str">
        <f>OutputTable[[#This Row],[ProjectName]]&amp;OutputTable[[#This Row],[Name]]&amp;OutputTable[[#This Row],[Type]]&amp;OutputTable[[#This Row],[Source]]</f>
        <v>Unnamed ProjectEntity 1.NumberOutNumber OutEntity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15</v>
      </c>
      <c r="K43" s="5" cm="1">
        <f t="array" ref="K43">IFERROR(AVERAGE(IF((OutputTable[GroupByKey]=OutputTable[[#This Row],[GroupByKey]]),(OutputTable[GroupByKey]=OutputTable[[#This Row],[GroupByKey]])*OutputTable[RecordedValue])),0)</f>
        <v>95.2</v>
      </c>
      <c r="L43" s="5" cm="1">
        <f t="array" ref="L43">IFERROR(_xlfn.STDEV.S(IF((OutputTable[GroupByKey]=OutputTable[[#This Row],[GroupByKey]]),(OutputTable[GroupByKey]=OutputTable[[#This Row],[GroupByKey]])*OutputTable[RecordedValue])),0)</f>
        <v>9.3059120993054751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43" s="5" cm="1">
        <f t="array" ref="O43">MIN(IF((OutputTable[GroupByKey]=OutputTable[[#This Row],[GroupByKey]]),(OutputTable[GroupByKey]=OutputTable[[#This Row],[GroupByKey]])*OutputTable[RecordedValue]))</f>
        <v>81</v>
      </c>
      <c r="P43" s="5" cm="1">
        <f t="array" ref="P43">MAX(IF((OutputTable[GroupByKey]=OutputTable[[#This Row],[GroupByKey]]),(OutputTable[GroupByKey]=OutputTable[[#This Row],[GroupByKey]])*OutputTable[RecordedValue]))</f>
        <v>116</v>
      </c>
    </row>
    <row r="44" spans="1:16" x14ac:dyDescent="0.3">
      <c r="A44" t="s">
        <v>66</v>
      </c>
      <c r="B44" t="s">
        <v>69</v>
      </c>
      <c r="C44">
        <v>9</v>
      </c>
      <c r="D44" t="s">
        <v>92</v>
      </c>
      <c r="E44" t="s">
        <v>93</v>
      </c>
      <c r="F44" t="s">
        <v>84</v>
      </c>
      <c r="G44">
        <v>96</v>
      </c>
      <c r="H44">
        <v>0</v>
      </c>
      <c r="I44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15</v>
      </c>
      <c r="K44" s="5" cm="1">
        <f t="array" ref="K44">IFERROR(AVERAGE(IF((OutputTable[GroupByKey]=OutputTable[[#This Row],[GroupByKey]]),(OutputTable[GroupByKey]=OutputTable[[#This Row],[GroupByKey]])*OutputTable[RecordedValue])),0)</f>
        <v>96.066666666666663</v>
      </c>
      <c r="L44" s="5" cm="1">
        <f t="array" ref="L44">IFERROR(_xlfn.STDEV.S(IF((OutputTable[GroupByKey]=OutputTable[[#This Row],[GroupByKey]]),(OutputTable[GroupByKey]=OutputTable[[#This Row],[GroupByKey]])*OutputTable[RecordedValue])),0)</f>
        <v>9.1843552279069058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44" s="5" cm="1">
        <f t="array" ref="O44">MIN(IF((OutputTable[GroupByKey]=OutputTable[[#This Row],[GroupByKey]]),(OutputTable[GroupByKey]=OutputTable[[#This Row],[GroupByKey]])*OutputTable[RecordedValue]))</f>
        <v>82</v>
      </c>
      <c r="P44" s="5" cm="1">
        <f t="array" ref="P44">MAX(IF((OutputTable[GroupByKey]=OutputTable[[#This Row],[GroupByKey]]),(OutputTable[GroupByKey]=OutputTable[[#This Row],[GroupByKey]])*OutputTable[RecordedValue]))</f>
        <v>116</v>
      </c>
    </row>
    <row r="45" spans="1:16" x14ac:dyDescent="0.3">
      <c r="A45" t="s">
        <v>66</v>
      </c>
      <c r="B45" t="s">
        <v>69</v>
      </c>
      <c r="C45">
        <v>9</v>
      </c>
      <c r="D45" t="s">
        <v>94</v>
      </c>
      <c r="E45" t="s">
        <v>95</v>
      </c>
      <c r="F45" t="s">
        <v>84</v>
      </c>
      <c r="G45">
        <v>0.34665642788115703</v>
      </c>
      <c r="H45">
        <v>0</v>
      </c>
      <c r="I45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15</v>
      </c>
      <c r="K45" s="5" cm="1">
        <f t="array" ref="K45">IFERROR(AVERAGE(IF((OutputTable[GroupByKey]=OutputTable[[#This Row],[GroupByKey]]),(OutputTable[GroupByKey]=OutputTable[[#This Row],[GroupByKey]])*OutputTable[RecordedValue])),0)</f>
        <v>0.35538558845326462</v>
      </c>
      <c r="L45" s="5" cm="1">
        <f t="array" ref="L45">IFERROR(_xlfn.STDEV.S(IF((OutputTable[GroupByKey]=OutputTable[[#This Row],[GroupByKey]]),(OutputTable[GroupByKey]=OutputTable[[#This Row],[GroupByKey]])*OutputTable[RecordedValue])),0)</f>
        <v>3.5995680767676681E-2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1.9933743585200857E-2</v>
      </c>
      <c r="O45" s="5" cm="1">
        <f t="array" ref="O45">MIN(IF((OutputTable[GroupByKey]=OutputTable[[#This Row],[GroupByKey]]),(OutputTable[GroupByKey]=OutputTable[[#This Row],[GroupByKey]])*OutputTable[RecordedValue]))</f>
        <v>0.29520999449618501</v>
      </c>
      <c r="P45" s="5" cm="1">
        <f t="array" ref="P45">MAX(IF((OutputTable[GroupByKey]=OutputTable[[#This Row],[GroupByKey]]),(OutputTable[GroupByKey]=OutputTable[[#This Row],[GroupByKey]])*OutputTable[RecordedValue]))</f>
        <v>0.43628573463419201</v>
      </c>
    </row>
    <row r="46" spans="1:16" x14ac:dyDescent="0.3">
      <c r="A46" t="s">
        <v>66</v>
      </c>
      <c r="B46" t="s">
        <v>69</v>
      </c>
      <c r="C46">
        <v>9</v>
      </c>
      <c r="D46" t="s">
        <v>96</v>
      </c>
      <c r="E46" t="s">
        <v>91</v>
      </c>
      <c r="F46" t="s">
        <v>97</v>
      </c>
      <c r="G46">
        <v>95</v>
      </c>
      <c r="H46">
        <v>0</v>
      </c>
      <c r="I46" s="5" t="str">
        <f>OutputTable[[#This Row],[ProjectName]]&amp;OutputTable[[#This Row],[Name]]&amp;OutputTable[[#This Row],[Type]]&amp;OutputTable[[#This Row],[Source]]</f>
        <v>Unnamed ProjectSystem.NumberOutNumber OutSystem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15</v>
      </c>
      <c r="K46" s="5" cm="1">
        <f t="array" ref="K46">IFERROR(AVERAGE(IF((OutputTable[GroupByKey]=OutputTable[[#This Row],[GroupByKey]]),(OutputTable[GroupByKey]=OutputTable[[#This Row],[GroupByKey]])*OutputTable[RecordedValue])),0)</f>
        <v>95.2</v>
      </c>
      <c r="L46" s="5" cm="1">
        <f t="array" ref="L46">IFERROR(_xlfn.STDEV.S(IF((OutputTable[GroupByKey]=OutputTable[[#This Row],[GroupByKey]]),(OutputTable[GroupByKey]=OutputTable[[#This Row],[GroupByKey]])*OutputTable[RecordedValue])),0)</f>
        <v>9.3059120993054751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46" s="5" cm="1">
        <f t="array" ref="O46">MIN(IF((OutputTable[GroupByKey]=OutputTable[[#This Row],[GroupByKey]]),(OutputTable[GroupByKey]=OutputTable[[#This Row],[GroupByKey]])*OutputTable[RecordedValue]))</f>
        <v>81</v>
      </c>
      <c r="P46" s="5" cm="1">
        <f t="array" ref="P46">MAX(IF((OutputTable[GroupByKey]=OutputTable[[#This Row],[GroupByKey]]),(OutputTable[GroupByKey]=OutputTable[[#This Row],[GroupByKey]])*OutputTable[RecordedValue]))</f>
        <v>116</v>
      </c>
    </row>
    <row r="47" spans="1:16" x14ac:dyDescent="0.3">
      <c r="A47" t="s">
        <v>66</v>
      </c>
      <c r="B47" t="s">
        <v>69</v>
      </c>
      <c r="C47">
        <v>10</v>
      </c>
      <c r="D47" t="s">
        <v>88</v>
      </c>
      <c r="E47" t="s">
        <v>89</v>
      </c>
      <c r="F47" t="s">
        <v>72</v>
      </c>
      <c r="G47">
        <v>86</v>
      </c>
      <c r="H47">
        <v>0</v>
      </c>
      <c r="I47" s="5" t="str">
        <f>OutputTable[[#This Row],[ProjectName]]&amp;OutputTable[[#This Row],[Name]]&amp;OutputTable[[#This Row],[Type]]&amp;OutputTable[[#This Row],[Source]]</f>
        <v>Unnamed ProjectEntity 1.NumberInNumber InEntity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15</v>
      </c>
      <c r="K47" s="5" cm="1">
        <f t="array" ref="K47">IFERROR(AVERAGE(IF((OutputTable[GroupByKey]=OutputTable[[#This Row],[GroupByKey]]),(OutputTable[GroupByKey]=OutputTable[[#This Row],[GroupByKey]])*OutputTable[RecordedValue])),0)</f>
        <v>96.066666666666663</v>
      </c>
      <c r="L47" s="5" cm="1">
        <f t="array" ref="L47">IFERROR(_xlfn.STDEV.S(IF((OutputTable[GroupByKey]=OutputTable[[#This Row],[GroupByKey]]),(OutputTable[GroupByKey]=OutputTable[[#This Row],[GroupByKey]])*OutputTable[RecordedValue])),0)</f>
        <v>9.1843552279069058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47" s="5" cm="1">
        <f t="array" ref="O47">MIN(IF((OutputTable[GroupByKey]=OutputTable[[#This Row],[GroupByKey]]),(OutputTable[GroupByKey]=OutputTable[[#This Row],[GroupByKey]])*OutputTable[RecordedValue]))</f>
        <v>82</v>
      </c>
      <c r="P47" s="5" cm="1">
        <f t="array" ref="P47">MAX(IF((OutputTable[GroupByKey]=OutputTable[[#This Row],[GroupByKey]]),(OutputTable[GroupByKey]=OutputTable[[#This Row],[GroupByKey]])*OutputTable[RecordedValue]))</f>
        <v>116</v>
      </c>
    </row>
    <row r="48" spans="1:16" x14ac:dyDescent="0.3">
      <c r="A48" t="s">
        <v>66</v>
      </c>
      <c r="B48" t="s">
        <v>69</v>
      </c>
      <c r="C48">
        <v>10</v>
      </c>
      <c r="D48" t="s">
        <v>90</v>
      </c>
      <c r="E48" t="s">
        <v>91</v>
      </c>
      <c r="F48" t="s">
        <v>72</v>
      </c>
      <c r="G48">
        <v>84</v>
      </c>
      <c r="H48">
        <v>0</v>
      </c>
      <c r="I48" s="5" t="str">
        <f>OutputTable[[#This Row],[ProjectName]]&amp;OutputTable[[#This Row],[Name]]&amp;OutputTable[[#This Row],[Type]]&amp;OutputTable[[#This Row],[Source]]</f>
        <v>Unnamed ProjectEntity 1.NumberOutNumber OutEntity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15</v>
      </c>
      <c r="K48" s="5" cm="1">
        <f t="array" ref="K48">IFERROR(AVERAGE(IF((OutputTable[GroupByKey]=OutputTable[[#This Row],[GroupByKey]]),(OutputTable[GroupByKey]=OutputTable[[#This Row],[GroupByKey]])*OutputTable[RecordedValue])),0)</f>
        <v>95.2</v>
      </c>
      <c r="L48" s="5" cm="1">
        <f t="array" ref="L48">IFERROR(_xlfn.STDEV.S(IF((OutputTable[GroupByKey]=OutputTable[[#This Row],[GroupByKey]]),(OutputTable[GroupByKey]=OutputTable[[#This Row],[GroupByKey]])*OutputTable[RecordedValue])),0)</f>
        <v>9.3059120993054751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48" s="5" cm="1">
        <f t="array" ref="O48">MIN(IF((OutputTable[GroupByKey]=OutputTable[[#This Row],[GroupByKey]]),(OutputTable[GroupByKey]=OutputTable[[#This Row],[GroupByKey]])*OutputTable[RecordedValue]))</f>
        <v>81</v>
      </c>
      <c r="P48" s="5" cm="1">
        <f t="array" ref="P48">MAX(IF((OutputTable[GroupByKey]=OutputTable[[#This Row],[GroupByKey]]),(OutputTable[GroupByKey]=OutputTable[[#This Row],[GroupByKey]])*OutputTable[RecordedValue]))</f>
        <v>116</v>
      </c>
    </row>
    <row r="49" spans="1:16" x14ac:dyDescent="0.3">
      <c r="A49" t="s">
        <v>66</v>
      </c>
      <c r="B49" t="s">
        <v>69</v>
      </c>
      <c r="C49">
        <v>10</v>
      </c>
      <c r="D49" t="s">
        <v>92</v>
      </c>
      <c r="E49" t="s">
        <v>93</v>
      </c>
      <c r="F49" t="s">
        <v>84</v>
      </c>
      <c r="G49">
        <v>86</v>
      </c>
      <c r="H49">
        <v>0</v>
      </c>
      <c r="I49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15</v>
      </c>
      <c r="K49" s="5" cm="1">
        <f t="array" ref="K49">IFERROR(AVERAGE(IF((OutputTable[GroupByKey]=OutputTable[[#This Row],[GroupByKey]]),(OutputTable[GroupByKey]=OutputTable[[#This Row],[GroupByKey]])*OutputTable[RecordedValue])),0)</f>
        <v>96.066666666666663</v>
      </c>
      <c r="L49" s="5" cm="1">
        <f t="array" ref="L49">IFERROR(_xlfn.STDEV.S(IF((OutputTable[GroupByKey]=OutputTable[[#This Row],[GroupByKey]]),(OutputTable[GroupByKey]=OutputTable[[#This Row],[GroupByKey]])*OutputTable[RecordedValue])),0)</f>
        <v>9.1843552279069058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49" s="5" cm="1">
        <f t="array" ref="O49">MIN(IF((OutputTable[GroupByKey]=OutputTable[[#This Row],[GroupByKey]]),(OutputTable[GroupByKey]=OutputTable[[#This Row],[GroupByKey]])*OutputTable[RecordedValue]))</f>
        <v>82</v>
      </c>
      <c r="P49" s="5" cm="1">
        <f t="array" ref="P49">MAX(IF((OutputTable[GroupByKey]=OutputTable[[#This Row],[GroupByKey]]),(OutputTable[GroupByKey]=OutputTable[[#This Row],[GroupByKey]])*OutputTable[RecordedValue]))</f>
        <v>116</v>
      </c>
    </row>
    <row r="50" spans="1:16" x14ac:dyDescent="0.3">
      <c r="A50" t="s">
        <v>66</v>
      </c>
      <c r="B50" t="s">
        <v>69</v>
      </c>
      <c r="C50">
        <v>10</v>
      </c>
      <c r="D50" t="s">
        <v>94</v>
      </c>
      <c r="E50" t="s">
        <v>95</v>
      </c>
      <c r="F50" t="s">
        <v>84</v>
      </c>
      <c r="G50">
        <v>0.29520999449618501</v>
      </c>
      <c r="H50">
        <v>0</v>
      </c>
      <c r="I50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15</v>
      </c>
      <c r="K50" s="5" cm="1">
        <f t="array" ref="K50">IFERROR(AVERAGE(IF((OutputTable[GroupByKey]=OutputTable[[#This Row],[GroupByKey]]),(OutputTable[GroupByKey]=OutputTable[[#This Row],[GroupByKey]])*OutputTable[RecordedValue])),0)</f>
        <v>0.35538558845326462</v>
      </c>
      <c r="L50" s="5" cm="1">
        <f t="array" ref="L50">IFERROR(_xlfn.STDEV.S(IF((OutputTable[GroupByKey]=OutputTable[[#This Row],[GroupByKey]]),(OutputTable[GroupByKey]=OutputTable[[#This Row],[GroupByKey]])*OutputTable[RecordedValue])),0)</f>
        <v>3.5995680767676681E-2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1.9933743585200857E-2</v>
      </c>
      <c r="O50" s="5" cm="1">
        <f t="array" ref="O50">MIN(IF((OutputTable[GroupByKey]=OutputTable[[#This Row],[GroupByKey]]),(OutputTable[GroupByKey]=OutputTable[[#This Row],[GroupByKey]])*OutputTable[RecordedValue]))</f>
        <v>0.29520999449618501</v>
      </c>
      <c r="P50" s="5" cm="1">
        <f t="array" ref="P50">MAX(IF((OutputTable[GroupByKey]=OutputTable[[#This Row],[GroupByKey]]),(OutputTable[GroupByKey]=OutputTable[[#This Row],[GroupByKey]])*OutputTable[RecordedValue]))</f>
        <v>0.43628573463419201</v>
      </c>
    </row>
    <row r="51" spans="1:16" x14ac:dyDescent="0.3">
      <c r="A51" t="s">
        <v>66</v>
      </c>
      <c r="B51" t="s">
        <v>69</v>
      </c>
      <c r="C51">
        <v>10</v>
      </c>
      <c r="D51" t="s">
        <v>96</v>
      </c>
      <c r="E51" t="s">
        <v>91</v>
      </c>
      <c r="F51" t="s">
        <v>97</v>
      </c>
      <c r="G51">
        <v>84</v>
      </c>
      <c r="H51">
        <v>0</v>
      </c>
      <c r="I51" s="5" t="str">
        <f>OutputTable[[#This Row],[ProjectName]]&amp;OutputTable[[#This Row],[Name]]&amp;OutputTable[[#This Row],[Type]]&amp;OutputTable[[#This Row],[Source]]</f>
        <v>Unnamed ProjectSystem.NumberOutNumber OutSystem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15</v>
      </c>
      <c r="K51" s="5" cm="1">
        <f t="array" ref="K51">IFERROR(AVERAGE(IF((OutputTable[GroupByKey]=OutputTable[[#This Row],[GroupByKey]]),(OutputTable[GroupByKey]=OutputTable[[#This Row],[GroupByKey]])*OutputTable[RecordedValue])),0)</f>
        <v>95.2</v>
      </c>
      <c r="L51" s="5" cm="1">
        <f t="array" ref="L51">IFERROR(_xlfn.STDEV.S(IF((OutputTable[GroupByKey]=OutputTable[[#This Row],[GroupByKey]]),(OutputTable[GroupByKey]=OutputTable[[#This Row],[GroupByKey]])*OutputTable[RecordedValue])),0)</f>
        <v>9.3059120993054751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51" s="5" cm="1">
        <f t="array" ref="O51">MIN(IF((OutputTable[GroupByKey]=OutputTable[[#This Row],[GroupByKey]]),(OutputTable[GroupByKey]=OutputTable[[#This Row],[GroupByKey]])*OutputTable[RecordedValue]))</f>
        <v>81</v>
      </c>
      <c r="P51" s="5" cm="1">
        <f t="array" ref="P51">MAX(IF((OutputTable[GroupByKey]=OutputTable[[#This Row],[GroupByKey]]),(OutputTable[GroupByKey]=OutputTable[[#This Row],[GroupByKey]])*OutputTable[RecordedValue]))</f>
        <v>116</v>
      </c>
    </row>
    <row r="52" spans="1:16" x14ac:dyDescent="0.3">
      <c r="A52" t="s">
        <v>66</v>
      </c>
      <c r="B52" t="s">
        <v>69</v>
      </c>
      <c r="C52">
        <v>11</v>
      </c>
      <c r="D52" t="s">
        <v>88</v>
      </c>
      <c r="E52" t="s">
        <v>89</v>
      </c>
      <c r="F52" t="s">
        <v>72</v>
      </c>
      <c r="G52">
        <v>102</v>
      </c>
      <c r="H52">
        <v>0</v>
      </c>
      <c r="I52" s="5" t="str">
        <f>OutputTable[[#This Row],[ProjectName]]&amp;OutputTable[[#This Row],[Name]]&amp;OutputTable[[#This Row],[Type]]&amp;OutputTable[[#This Row],[Source]]</f>
        <v>Unnamed ProjectEntity 1.NumberInNumber InEntity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15</v>
      </c>
      <c r="K52" s="5" cm="1">
        <f t="array" ref="K52">IFERROR(AVERAGE(IF((OutputTable[GroupByKey]=OutputTable[[#This Row],[GroupByKey]]),(OutputTable[GroupByKey]=OutputTable[[#This Row],[GroupByKey]])*OutputTable[RecordedValue])),0)</f>
        <v>96.066666666666663</v>
      </c>
      <c r="L52" s="5" cm="1">
        <f t="array" ref="L52">IFERROR(_xlfn.STDEV.S(IF((OutputTable[GroupByKey]=OutputTable[[#This Row],[GroupByKey]]),(OutputTable[GroupByKey]=OutputTable[[#This Row],[GroupByKey]])*OutputTable[RecordedValue])),0)</f>
        <v>9.1843552279069058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52" s="5" cm="1">
        <f t="array" ref="O52">MIN(IF((OutputTable[GroupByKey]=OutputTable[[#This Row],[GroupByKey]]),(OutputTable[GroupByKey]=OutputTable[[#This Row],[GroupByKey]])*OutputTable[RecordedValue]))</f>
        <v>82</v>
      </c>
      <c r="P52" s="5" cm="1">
        <f t="array" ref="P52">MAX(IF((OutputTable[GroupByKey]=OutputTable[[#This Row],[GroupByKey]]),(OutputTable[GroupByKey]=OutputTable[[#This Row],[GroupByKey]])*OutputTable[RecordedValue]))</f>
        <v>116</v>
      </c>
    </row>
    <row r="53" spans="1:16" x14ac:dyDescent="0.3">
      <c r="A53" t="s">
        <v>66</v>
      </c>
      <c r="B53" t="s">
        <v>69</v>
      </c>
      <c r="C53">
        <v>11</v>
      </c>
      <c r="D53" t="s">
        <v>90</v>
      </c>
      <c r="E53" t="s">
        <v>91</v>
      </c>
      <c r="F53" t="s">
        <v>72</v>
      </c>
      <c r="G53">
        <v>99</v>
      </c>
      <c r="H53">
        <v>0</v>
      </c>
      <c r="I53" s="5" t="str">
        <f>OutputTable[[#This Row],[ProjectName]]&amp;OutputTable[[#This Row],[Name]]&amp;OutputTable[[#This Row],[Type]]&amp;OutputTable[[#This Row],[Source]]</f>
        <v>Unnamed ProjectEntity 1.NumberOutNumber OutEntity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15</v>
      </c>
      <c r="K53" s="5" cm="1">
        <f t="array" ref="K53">IFERROR(AVERAGE(IF((OutputTable[GroupByKey]=OutputTable[[#This Row],[GroupByKey]]),(OutputTable[GroupByKey]=OutputTable[[#This Row],[GroupByKey]])*OutputTable[RecordedValue])),0)</f>
        <v>95.2</v>
      </c>
      <c r="L53" s="5" cm="1">
        <f t="array" ref="L53">IFERROR(_xlfn.STDEV.S(IF((OutputTable[GroupByKey]=OutputTable[[#This Row],[GroupByKey]]),(OutputTable[GroupByKey]=OutputTable[[#This Row],[GroupByKey]])*OutputTable[RecordedValue])),0)</f>
        <v>9.3059120993054751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53" s="5" cm="1">
        <f t="array" ref="O53">MIN(IF((OutputTable[GroupByKey]=OutputTable[[#This Row],[GroupByKey]]),(OutputTable[GroupByKey]=OutputTable[[#This Row],[GroupByKey]])*OutputTable[RecordedValue]))</f>
        <v>81</v>
      </c>
      <c r="P53" s="5" cm="1">
        <f t="array" ref="P53">MAX(IF((OutputTable[GroupByKey]=OutputTable[[#This Row],[GroupByKey]]),(OutputTable[GroupByKey]=OutputTable[[#This Row],[GroupByKey]])*OutputTable[RecordedValue]))</f>
        <v>116</v>
      </c>
    </row>
    <row r="54" spans="1:16" x14ac:dyDescent="0.3">
      <c r="A54" t="s">
        <v>66</v>
      </c>
      <c r="B54" t="s">
        <v>69</v>
      </c>
      <c r="C54">
        <v>11</v>
      </c>
      <c r="D54" t="s">
        <v>92</v>
      </c>
      <c r="E54" t="s">
        <v>93</v>
      </c>
      <c r="F54" t="s">
        <v>84</v>
      </c>
      <c r="G54">
        <v>102</v>
      </c>
      <c r="H54">
        <v>0</v>
      </c>
      <c r="I54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15</v>
      </c>
      <c r="K54" s="5" cm="1">
        <f t="array" ref="K54">IFERROR(AVERAGE(IF((OutputTable[GroupByKey]=OutputTable[[#This Row],[GroupByKey]]),(OutputTable[GroupByKey]=OutputTable[[#This Row],[GroupByKey]])*OutputTable[RecordedValue])),0)</f>
        <v>96.066666666666663</v>
      </c>
      <c r="L54" s="5" cm="1">
        <f t="array" ref="L54">IFERROR(_xlfn.STDEV.S(IF((OutputTable[GroupByKey]=OutputTable[[#This Row],[GroupByKey]]),(OutputTable[GroupByKey]=OutputTable[[#This Row],[GroupByKey]])*OutputTable[RecordedValue])),0)</f>
        <v>9.1843552279069058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54" s="5" cm="1">
        <f t="array" ref="O54">MIN(IF((OutputTable[GroupByKey]=OutputTable[[#This Row],[GroupByKey]]),(OutputTable[GroupByKey]=OutputTable[[#This Row],[GroupByKey]])*OutputTable[RecordedValue]))</f>
        <v>82</v>
      </c>
      <c r="P54" s="5" cm="1">
        <f t="array" ref="P54">MAX(IF((OutputTable[GroupByKey]=OutputTable[[#This Row],[GroupByKey]]),(OutputTable[GroupByKey]=OutputTable[[#This Row],[GroupByKey]])*OutputTable[RecordedValue]))</f>
        <v>116</v>
      </c>
    </row>
    <row r="55" spans="1:16" x14ac:dyDescent="0.3">
      <c r="A55" t="s">
        <v>66</v>
      </c>
      <c r="B55" t="s">
        <v>69</v>
      </c>
      <c r="C55">
        <v>11</v>
      </c>
      <c r="D55" t="s">
        <v>94</v>
      </c>
      <c r="E55" t="s">
        <v>95</v>
      </c>
      <c r="F55" t="s">
        <v>84</v>
      </c>
      <c r="G55">
        <v>0.36224787211192799</v>
      </c>
      <c r="H55">
        <v>0</v>
      </c>
      <c r="I55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15</v>
      </c>
      <c r="K55" s="5" cm="1">
        <f t="array" ref="K55">IFERROR(AVERAGE(IF((OutputTable[GroupByKey]=OutputTable[[#This Row],[GroupByKey]]),(OutputTable[GroupByKey]=OutputTable[[#This Row],[GroupByKey]])*OutputTable[RecordedValue])),0)</f>
        <v>0.35538558845326462</v>
      </c>
      <c r="L55" s="5" cm="1">
        <f t="array" ref="L55">IFERROR(_xlfn.STDEV.S(IF((OutputTable[GroupByKey]=OutputTable[[#This Row],[GroupByKey]]),(OutputTable[GroupByKey]=OutputTable[[#This Row],[GroupByKey]])*OutputTable[RecordedValue])),0)</f>
        <v>3.5995680767676681E-2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1.9933743585200857E-2</v>
      </c>
      <c r="O55" s="5" cm="1">
        <f t="array" ref="O55">MIN(IF((OutputTable[GroupByKey]=OutputTable[[#This Row],[GroupByKey]]),(OutputTable[GroupByKey]=OutputTable[[#This Row],[GroupByKey]])*OutputTable[RecordedValue]))</f>
        <v>0.29520999449618501</v>
      </c>
      <c r="P55" s="5" cm="1">
        <f t="array" ref="P55">MAX(IF((OutputTable[GroupByKey]=OutputTable[[#This Row],[GroupByKey]]),(OutputTable[GroupByKey]=OutputTable[[#This Row],[GroupByKey]])*OutputTable[RecordedValue]))</f>
        <v>0.43628573463419201</v>
      </c>
    </row>
    <row r="56" spans="1:16" x14ac:dyDescent="0.3">
      <c r="A56" t="s">
        <v>66</v>
      </c>
      <c r="B56" t="s">
        <v>69</v>
      </c>
      <c r="C56">
        <v>11</v>
      </c>
      <c r="D56" t="s">
        <v>96</v>
      </c>
      <c r="E56" t="s">
        <v>91</v>
      </c>
      <c r="F56" t="s">
        <v>97</v>
      </c>
      <c r="G56">
        <v>99</v>
      </c>
      <c r="H56">
        <v>0</v>
      </c>
      <c r="I56" s="5" t="str">
        <f>OutputTable[[#This Row],[ProjectName]]&amp;OutputTable[[#This Row],[Name]]&amp;OutputTable[[#This Row],[Type]]&amp;OutputTable[[#This Row],[Source]]</f>
        <v>Unnamed ProjectSystem.NumberOutNumber OutSystem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15</v>
      </c>
      <c r="K56" s="5" cm="1">
        <f t="array" ref="K56">IFERROR(AVERAGE(IF((OutputTable[GroupByKey]=OutputTable[[#This Row],[GroupByKey]]),(OutputTable[GroupByKey]=OutputTable[[#This Row],[GroupByKey]])*OutputTable[RecordedValue])),0)</f>
        <v>95.2</v>
      </c>
      <c r="L56" s="5" cm="1">
        <f t="array" ref="L56">IFERROR(_xlfn.STDEV.S(IF((OutputTable[GroupByKey]=OutputTable[[#This Row],[GroupByKey]]),(OutputTable[GroupByKey]=OutputTable[[#This Row],[GroupByKey]])*OutputTable[RecordedValue])),0)</f>
        <v>9.3059120993054751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56" s="5" cm="1">
        <f t="array" ref="O56">MIN(IF((OutputTable[GroupByKey]=OutputTable[[#This Row],[GroupByKey]]),(OutputTable[GroupByKey]=OutputTable[[#This Row],[GroupByKey]])*OutputTable[RecordedValue]))</f>
        <v>81</v>
      </c>
      <c r="P56" s="5" cm="1">
        <f t="array" ref="P56">MAX(IF((OutputTable[GroupByKey]=OutputTable[[#This Row],[GroupByKey]]),(OutputTable[GroupByKey]=OutputTable[[#This Row],[GroupByKey]])*OutputTable[RecordedValue]))</f>
        <v>116</v>
      </c>
    </row>
    <row r="57" spans="1:16" x14ac:dyDescent="0.3">
      <c r="A57" t="s">
        <v>66</v>
      </c>
      <c r="B57" t="s">
        <v>69</v>
      </c>
      <c r="C57">
        <v>12</v>
      </c>
      <c r="D57" t="s">
        <v>88</v>
      </c>
      <c r="E57" t="s">
        <v>89</v>
      </c>
      <c r="F57" t="s">
        <v>72</v>
      </c>
      <c r="G57">
        <v>84</v>
      </c>
      <c r="H57">
        <v>0</v>
      </c>
      <c r="I57" s="5" t="str">
        <f>OutputTable[[#This Row],[ProjectName]]&amp;OutputTable[[#This Row],[Name]]&amp;OutputTable[[#This Row],[Type]]&amp;OutputTable[[#This Row],[Source]]</f>
        <v>Unnamed ProjectEntity 1.NumberInNumber InEntity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15</v>
      </c>
      <c r="K57" s="5" cm="1">
        <f t="array" ref="K57">IFERROR(AVERAGE(IF((OutputTable[GroupByKey]=OutputTable[[#This Row],[GroupByKey]]),(OutputTable[GroupByKey]=OutputTable[[#This Row],[GroupByKey]])*OutputTable[RecordedValue])),0)</f>
        <v>96.066666666666663</v>
      </c>
      <c r="L57" s="5" cm="1">
        <f t="array" ref="L57">IFERROR(_xlfn.STDEV.S(IF((OutputTable[GroupByKey]=OutputTable[[#This Row],[GroupByKey]]),(OutputTable[GroupByKey]=OutputTable[[#This Row],[GroupByKey]])*OutputTable[RecordedValue])),0)</f>
        <v>9.1843552279069058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57" s="5" cm="1">
        <f t="array" ref="O57">MIN(IF((OutputTable[GroupByKey]=OutputTable[[#This Row],[GroupByKey]]),(OutputTable[GroupByKey]=OutputTable[[#This Row],[GroupByKey]])*OutputTable[RecordedValue]))</f>
        <v>82</v>
      </c>
      <c r="P57" s="5" cm="1">
        <f t="array" ref="P57">MAX(IF((OutputTable[GroupByKey]=OutputTable[[#This Row],[GroupByKey]]),(OutputTable[GroupByKey]=OutputTable[[#This Row],[GroupByKey]])*OutputTable[RecordedValue]))</f>
        <v>116</v>
      </c>
    </row>
    <row r="58" spans="1:16" x14ac:dyDescent="0.3">
      <c r="A58" t="s">
        <v>66</v>
      </c>
      <c r="B58" t="s">
        <v>69</v>
      </c>
      <c r="C58">
        <v>12</v>
      </c>
      <c r="D58" t="s">
        <v>90</v>
      </c>
      <c r="E58" t="s">
        <v>91</v>
      </c>
      <c r="F58" t="s">
        <v>72</v>
      </c>
      <c r="G58">
        <v>84</v>
      </c>
      <c r="H58">
        <v>0</v>
      </c>
      <c r="I58" s="5" t="str">
        <f>OutputTable[[#This Row],[ProjectName]]&amp;OutputTable[[#This Row],[Name]]&amp;OutputTable[[#This Row],[Type]]&amp;OutputTable[[#This Row],[Source]]</f>
        <v>Unnamed ProjectEntity 1.NumberOutNumber OutEntity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15</v>
      </c>
      <c r="K58" s="5" cm="1">
        <f t="array" ref="K58">IFERROR(AVERAGE(IF((OutputTable[GroupByKey]=OutputTable[[#This Row],[GroupByKey]]),(OutputTable[GroupByKey]=OutputTable[[#This Row],[GroupByKey]])*OutputTable[RecordedValue])),0)</f>
        <v>95.2</v>
      </c>
      <c r="L58" s="5" cm="1">
        <f t="array" ref="L58">IFERROR(_xlfn.STDEV.S(IF((OutputTable[GroupByKey]=OutputTable[[#This Row],[GroupByKey]]),(OutputTable[GroupByKey]=OutputTable[[#This Row],[GroupByKey]])*OutputTable[RecordedValue])),0)</f>
        <v>9.3059120993054751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58" s="5" cm="1">
        <f t="array" ref="O58">MIN(IF((OutputTable[GroupByKey]=OutputTable[[#This Row],[GroupByKey]]),(OutputTable[GroupByKey]=OutputTable[[#This Row],[GroupByKey]])*OutputTable[RecordedValue]))</f>
        <v>81</v>
      </c>
      <c r="P58" s="5" cm="1">
        <f t="array" ref="P58">MAX(IF((OutputTable[GroupByKey]=OutputTable[[#This Row],[GroupByKey]]),(OutputTable[GroupByKey]=OutputTable[[#This Row],[GroupByKey]])*OutputTable[RecordedValue]))</f>
        <v>116</v>
      </c>
    </row>
    <row r="59" spans="1:16" x14ac:dyDescent="0.3">
      <c r="A59" t="s">
        <v>66</v>
      </c>
      <c r="B59" t="s">
        <v>69</v>
      </c>
      <c r="C59">
        <v>12</v>
      </c>
      <c r="D59" t="s">
        <v>92</v>
      </c>
      <c r="E59" t="s">
        <v>93</v>
      </c>
      <c r="F59" t="s">
        <v>84</v>
      </c>
      <c r="G59">
        <v>84</v>
      </c>
      <c r="H59">
        <v>0</v>
      </c>
      <c r="I59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15</v>
      </c>
      <c r="K59" s="5" cm="1">
        <f t="array" ref="K59">IFERROR(AVERAGE(IF((OutputTable[GroupByKey]=OutputTable[[#This Row],[GroupByKey]]),(OutputTable[GroupByKey]=OutputTable[[#This Row],[GroupByKey]])*OutputTable[RecordedValue])),0)</f>
        <v>96.066666666666663</v>
      </c>
      <c r="L59" s="5" cm="1">
        <f t="array" ref="L59">IFERROR(_xlfn.STDEV.S(IF((OutputTable[GroupByKey]=OutputTable[[#This Row],[GroupByKey]]),(OutputTable[GroupByKey]=OutputTable[[#This Row],[GroupByKey]])*OutputTable[RecordedValue])),0)</f>
        <v>9.1843552279069058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59" s="5" cm="1">
        <f t="array" ref="O59">MIN(IF((OutputTable[GroupByKey]=OutputTable[[#This Row],[GroupByKey]]),(OutputTable[GroupByKey]=OutputTable[[#This Row],[GroupByKey]])*OutputTable[RecordedValue]))</f>
        <v>82</v>
      </c>
      <c r="P59" s="5" cm="1">
        <f t="array" ref="P59">MAX(IF((OutputTable[GroupByKey]=OutputTable[[#This Row],[GroupByKey]]),(OutputTable[GroupByKey]=OutputTable[[#This Row],[GroupByKey]])*OutputTable[RecordedValue]))</f>
        <v>116</v>
      </c>
    </row>
    <row r="60" spans="1:16" x14ac:dyDescent="0.3">
      <c r="A60" t="s">
        <v>66</v>
      </c>
      <c r="B60" t="s">
        <v>69</v>
      </c>
      <c r="C60">
        <v>12</v>
      </c>
      <c r="D60" t="s">
        <v>94</v>
      </c>
      <c r="E60" t="s">
        <v>95</v>
      </c>
      <c r="F60" t="s">
        <v>84</v>
      </c>
      <c r="G60">
        <v>0.30908648398812699</v>
      </c>
      <c r="H60">
        <v>0</v>
      </c>
      <c r="I60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15</v>
      </c>
      <c r="K60" s="5" cm="1">
        <f t="array" ref="K60">IFERROR(AVERAGE(IF((OutputTable[GroupByKey]=OutputTable[[#This Row],[GroupByKey]]),(OutputTable[GroupByKey]=OutputTable[[#This Row],[GroupByKey]])*OutputTable[RecordedValue])),0)</f>
        <v>0.35538558845326462</v>
      </c>
      <c r="L60" s="5" cm="1">
        <f t="array" ref="L60">IFERROR(_xlfn.STDEV.S(IF((OutputTable[GroupByKey]=OutputTable[[#This Row],[GroupByKey]]),(OutputTable[GroupByKey]=OutputTable[[#This Row],[GroupByKey]])*OutputTable[RecordedValue])),0)</f>
        <v>3.5995680767676681E-2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1.9933743585200857E-2</v>
      </c>
      <c r="O60" s="5" cm="1">
        <f t="array" ref="O60">MIN(IF((OutputTable[GroupByKey]=OutputTable[[#This Row],[GroupByKey]]),(OutputTable[GroupByKey]=OutputTable[[#This Row],[GroupByKey]])*OutputTable[RecordedValue]))</f>
        <v>0.29520999449618501</v>
      </c>
      <c r="P60" s="5" cm="1">
        <f t="array" ref="P60">MAX(IF((OutputTable[GroupByKey]=OutputTable[[#This Row],[GroupByKey]]),(OutputTable[GroupByKey]=OutputTable[[#This Row],[GroupByKey]])*OutputTable[RecordedValue]))</f>
        <v>0.43628573463419201</v>
      </c>
    </row>
    <row r="61" spans="1:16" x14ac:dyDescent="0.3">
      <c r="A61" t="s">
        <v>66</v>
      </c>
      <c r="B61" t="s">
        <v>69</v>
      </c>
      <c r="C61">
        <v>12</v>
      </c>
      <c r="D61" t="s">
        <v>96</v>
      </c>
      <c r="E61" t="s">
        <v>91</v>
      </c>
      <c r="F61" t="s">
        <v>97</v>
      </c>
      <c r="G61">
        <v>84</v>
      </c>
      <c r="H61">
        <v>0</v>
      </c>
      <c r="I61" s="5" t="str">
        <f>OutputTable[[#This Row],[ProjectName]]&amp;OutputTable[[#This Row],[Name]]&amp;OutputTable[[#This Row],[Type]]&amp;OutputTable[[#This Row],[Source]]</f>
        <v>Unnamed ProjectSystem.NumberOutNumber OutSystem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15</v>
      </c>
      <c r="K61" s="5" cm="1">
        <f t="array" ref="K61">IFERROR(AVERAGE(IF((OutputTable[GroupByKey]=OutputTable[[#This Row],[GroupByKey]]),(OutputTable[GroupByKey]=OutputTable[[#This Row],[GroupByKey]])*OutputTable[RecordedValue])),0)</f>
        <v>95.2</v>
      </c>
      <c r="L61" s="5" cm="1">
        <f t="array" ref="L61">IFERROR(_xlfn.STDEV.S(IF((OutputTable[GroupByKey]=OutputTable[[#This Row],[GroupByKey]]),(OutputTable[GroupByKey]=OutputTable[[#This Row],[GroupByKey]])*OutputTable[RecordedValue])),0)</f>
        <v>9.3059120993054751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61" s="5" cm="1">
        <f t="array" ref="O61">MIN(IF((OutputTable[GroupByKey]=OutputTable[[#This Row],[GroupByKey]]),(OutputTable[GroupByKey]=OutputTable[[#This Row],[GroupByKey]])*OutputTable[RecordedValue]))</f>
        <v>81</v>
      </c>
      <c r="P61" s="5" cm="1">
        <f t="array" ref="P61">MAX(IF((OutputTable[GroupByKey]=OutputTable[[#This Row],[GroupByKey]]),(OutputTable[GroupByKey]=OutputTable[[#This Row],[GroupByKey]])*OutputTable[RecordedValue]))</f>
        <v>116</v>
      </c>
    </row>
    <row r="62" spans="1:16" x14ac:dyDescent="0.3">
      <c r="A62" t="s">
        <v>66</v>
      </c>
      <c r="B62" t="s">
        <v>69</v>
      </c>
      <c r="C62">
        <v>13</v>
      </c>
      <c r="D62" t="s">
        <v>88</v>
      </c>
      <c r="E62" t="s">
        <v>89</v>
      </c>
      <c r="F62" t="s">
        <v>72</v>
      </c>
      <c r="G62">
        <v>99</v>
      </c>
      <c r="H62">
        <v>0</v>
      </c>
      <c r="I62" s="5" t="str">
        <f>OutputTable[[#This Row],[ProjectName]]&amp;OutputTable[[#This Row],[Name]]&amp;OutputTable[[#This Row],[Type]]&amp;OutputTable[[#This Row],[Source]]</f>
        <v>Unnamed ProjectEntity 1.NumberInNumber InEntity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15</v>
      </c>
      <c r="K62" s="5" cm="1">
        <f t="array" ref="K62">IFERROR(AVERAGE(IF((OutputTable[GroupByKey]=OutputTable[[#This Row],[GroupByKey]]),(OutputTable[GroupByKey]=OutputTable[[#This Row],[GroupByKey]])*OutputTable[RecordedValue])),0)</f>
        <v>96.066666666666663</v>
      </c>
      <c r="L62" s="5" cm="1">
        <f t="array" ref="L62">IFERROR(_xlfn.STDEV.S(IF((OutputTable[GroupByKey]=OutputTable[[#This Row],[GroupByKey]]),(OutputTable[GroupByKey]=OutputTable[[#This Row],[GroupByKey]])*OutputTable[RecordedValue])),0)</f>
        <v>9.1843552279069058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62" s="5" cm="1">
        <f t="array" ref="O62">MIN(IF((OutputTable[GroupByKey]=OutputTable[[#This Row],[GroupByKey]]),(OutputTable[GroupByKey]=OutputTable[[#This Row],[GroupByKey]])*OutputTable[RecordedValue]))</f>
        <v>82</v>
      </c>
      <c r="P62" s="5" cm="1">
        <f t="array" ref="P62">MAX(IF((OutputTable[GroupByKey]=OutputTable[[#This Row],[GroupByKey]]),(OutputTable[GroupByKey]=OutputTable[[#This Row],[GroupByKey]])*OutputTable[RecordedValue]))</f>
        <v>116</v>
      </c>
    </row>
    <row r="63" spans="1:16" x14ac:dyDescent="0.3">
      <c r="A63" t="s">
        <v>66</v>
      </c>
      <c r="B63" t="s">
        <v>69</v>
      </c>
      <c r="C63">
        <v>13</v>
      </c>
      <c r="D63" t="s">
        <v>90</v>
      </c>
      <c r="E63" t="s">
        <v>91</v>
      </c>
      <c r="F63" t="s">
        <v>72</v>
      </c>
      <c r="G63">
        <v>99</v>
      </c>
      <c r="H63">
        <v>0</v>
      </c>
      <c r="I63" s="5" t="str">
        <f>OutputTable[[#This Row],[ProjectName]]&amp;OutputTable[[#This Row],[Name]]&amp;OutputTable[[#This Row],[Type]]&amp;OutputTable[[#This Row],[Source]]</f>
        <v>Unnamed ProjectEntity 1.NumberOutNumber OutEntity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15</v>
      </c>
      <c r="K63" s="5" cm="1">
        <f t="array" ref="K63">IFERROR(AVERAGE(IF((OutputTable[GroupByKey]=OutputTable[[#This Row],[GroupByKey]]),(OutputTable[GroupByKey]=OutputTable[[#This Row],[GroupByKey]])*OutputTable[RecordedValue])),0)</f>
        <v>95.2</v>
      </c>
      <c r="L63" s="5" cm="1">
        <f t="array" ref="L63">IFERROR(_xlfn.STDEV.S(IF((OutputTable[GroupByKey]=OutputTable[[#This Row],[GroupByKey]]),(OutputTable[GroupByKey]=OutputTable[[#This Row],[GroupByKey]])*OutputTable[RecordedValue])),0)</f>
        <v>9.3059120993054751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63" s="5" cm="1">
        <f t="array" ref="O63">MIN(IF((OutputTable[GroupByKey]=OutputTable[[#This Row],[GroupByKey]]),(OutputTable[GroupByKey]=OutputTable[[#This Row],[GroupByKey]])*OutputTable[RecordedValue]))</f>
        <v>81</v>
      </c>
      <c r="P63" s="5" cm="1">
        <f t="array" ref="P63">MAX(IF((OutputTable[GroupByKey]=OutputTable[[#This Row],[GroupByKey]]),(OutputTable[GroupByKey]=OutputTable[[#This Row],[GroupByKey]])*OutputTable[RecordedValue]))</f>
        <v>116</v>
      </c>
    </row>
    <row r="64" spans="1:16" x14ac:dyDescent="0.3">
      <c r="A64" t="s">
        <v>66</v>
      </c>
      <c r="B64" t="s">
        <v>69</v>
      </c>
      <c r="C64">
        <v>13</v>
      </c>
      <c r="D64" t="s">
        <v>92</v>
      </c>
      <c r="E64" t="s">
        <v>93</v>
      </c>
      <c r="F64" t="s">
        <v>84</v>
      </c>
      <c r="G64">
        <v>99</v>
      </c>
      <c r="H64">
        <v>0</v>
      </c>
      <c r="I64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15</v>
      </c>
      <c r="K64" s="5" cm="1">
        <f t="array" ref="K64">IFERROR(AVERAGE(IF((OutputTable[GroupByKey]=OutputTable[[#This Row],[GroupByKey]]),(OutputTable[GroupByKey]=OutputTable[[#This Row],[GroupByKey]])*OutputTable[RecordedValue])),0)</f>
        <v>96.066666666666663</v>
      </c>
      <c r="L64" s="5" cm="1">
        <f t="array" ref="L64">IFERROR(_xlfn.STDEV.S(IF((OutputTable[GroupByKey]=OutputTable[[#This Row],[GroupByKey]]),(OutputTable[GroupByKey]=OutputTable[[#This Row],[GroupByKey]])*OutputTable[RecordedValue])),0)</f>
        <v>9.1843552279069058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64" s="5" cm="1">
        <f t="array" ref="O64">MIN(IF((OutputTable[GroupByKey]=OutputTable[[#This Row],[GroupByKey]]),(OutputTable[GroupByKey]=OutputTable[[#This Row],[GroupByKey]])*OutputTable[RecordedValue]))</f>
        <v>82</v>
      </c>
      <c r="P64" s="5" cm="1">
        <f t="array" ref="P64">MAX(IF((OutputTable[GroupByKey]=OutputTable[[#This Row],[GroupByKey]]),(OutputTable[GroupByKey]=OutputTable[[#This Row],[GroupByKey]])*OutputTable[RecordedValue]))</f>
        <v>116</v>
      </c>
    </row>
    <row r="65" spans="1:16" x14ac:dyDescent="0.3">
      <c r="A65" t="s">
        <v>66</v>
      </c>
      <c r="B65" t="s">
        <v>69</v>
      </c>
      <c r="C65">
        <v>13</v>
      </c>
      <c r="D65" t="s">
        <v>94</v>
      </c>
      <c r="E65" t="s">
        <v>95</v>
      </c>
      <c r="F65" t="s">
        <v>84</v>
      </c>
      <c r="G65">
        <v>0.365388517527451</v>
      </c>
      <c r="H65">
        <v>0</v>
      </c>
      <c r="I65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15</v>
      </c>
      <c r="K65" s="5" cm="1">
        <f t="array" ref="K65">IFERROR(AVERAGE(IF((OutputTable[GroupByKey]=OutputTable[[#This Row],[GroupByKey]]),(OutputTable[GroupByKey]=OutputTable[[#This Row],[GroupByKey]])*OutputTable[RecordedValue])),0)</f>
        <v>0.35538558845326462</v>
      </c>
      <c r="L65" s="5" cm="1">
        <f t="array" ref="L65">IFERROR(_xlfn.STDEV.S(IF((OutputTable[GroupByKey]=OutputTable[[#This Row],[GroupByKey]]),(OutputTable[GroupByKey]=OutputTable[[#This Row],[GroupByKey]])*OutputTable[RecordedValue])),0)</f>
        <v>3.5995680767676681E-2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1.9933743585200857E-2</v>
      </c>
      <c r="O65" s="5" cm="1">
        <f t="array" ref="O65">MIN(IF((OutputTable[GroupByKey]=OutputTable[[#This Row],[GroupByKey]]),(OutputTable[GroupByKey]=OutputTable[[#This Row],[GroupByKey]])*OutputTable[RecordedValue]))</f>
        <v>0.29520999449618501</v>
      </c>
      <c r="P65" s="5" cm="1">
        <f t="array" ref="P65">MAX(IF((OutputTable[GroupByKey]=OutputTable[[#This Row],[GroupByKey]]),(OutputTable[GroupByKey]=OutputTable[[#This Row],[GroupByKey]])*OutputTable[RecordedValue]))</f>
        <v>0.43628573463419201</v>
      </c>
    </row>
    <row r="66" spans="1:16" x14ac:dyDescent="0.3">
      <c r="A66" t="s">
        <v>66</v>
      </c>
      <c r="B66" t="s">
        <v>69</v>
      </c>
      <c r="C66">
        <v>13</v>
      </c>
      <c r="D66" t="s">
        <v>96</v>
      </c>
      <c r="E66" t="s">
        <v>91</v>
      </c>
      <c r="F66" t="s">
        <v>97</v>
      </c>
      <c r="G66">
        <v>99</v>
      </c>
      <c r="H66">
        <v>0</v>
      </c>
      <c r="I66" s="5" t="str">
        <f>OutputTable[[#This Row],[ProjectName]]&amp;OutputTable[[#This Row],[Name]]&amp;OutputTable[[#This Row],[Type]]&amp;OutputTable[[#This Row],[Source]]</f>
        <v>Unnamed ProjectSystem.NumberOutNumber OutSystem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15</v>
      </c>
      <c r="K66" s="5" cm="1">
        <f t="array" ref="K66">IFERROR(AVERAGE(IF((OutputTable[GroupByKey]=OutputTable[[#This Row],[GroupByKey]]),(OutputTable[GroupByKey]=OutputTable[[#This Row],[GroupByKey]])*OutputTable[RecordedValue])),0)</f>
        <v>95.2</v>
      </c>
      <c r="L66" s="5" cm="1">
        <f t="array" ref="L66">IFERROR(_xlfn.STDEV.S(IF((OutputTable[GroupByKey]=OutputTable[[#This Row],[GroupByKey]]),(OutputTable[GroupByKey]=OutputTable[[#This Row],[GroupByKey]])*OutputTable[RecordedValue])),0)</f>
        <v>9.3059120993054751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66" s="5" cm="1">
        <f t="array" ref="O66">MIN(IF((OutputTable[GroupByKey]=OutputTable[[#This Row],[GroupByKey]]),(OutputTable[GroupByKey]=OutputTable[[#This Row],[GroupByKey]])*OutputTable[RecordedValue]))</f>
        <v>81</v>
      </c>
      <c r="P66" s="5" cm="1">
        <f t="array" ref="P66">MAX(IF((OutputTable[GroupByKey]=OutputTable[[#This Row],[GroupByKey]]),(OutputTable[GroupByKey]=OutputTable[[#This Row],[GroupByKey]])*OutputTable[RecordedValue]))</f>
        <v>116</v>
      </c>
    </row>
    <row r="67" spans="1:16" x14ac:dyDescent="0.3">
      <c r="A67" t="s">
        <v>66</v>
      </c>
      <c r="B67" t="s">
        <v>69</v>
      </c>
      <c r="C67">
        <v>14</v>
      </c>
      <c r="D67" t="s">
        <v>88</v>
      </c>
      <c r="E67" t="s">
        <v>89</v>
      </c>
      <c r="F67" t="s">
        <v>72</v>
      </c>
      <c r="G67">
        <v>96</v>
      </c>
      <c r="H67">
        <v>0</v>
      </c>
      <c r="I67" s="5" t="str">
        <f>OutputTable[[#This Row],[ProjectName]]&amp;OutputTable[[#This Row],[Name]]&amp;OutputTable[[#This Row],[Type]]&amp;OutputTable[[#This Row],[Source]]</f>
        <v>Unnamed ProjectEntity 1.NumberInNumber InEntity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15</v>
      </c>
      <c r="K67" s="5" cm="1">
        <f t="array" ref="K67">IFERROR(AVERAGE(IF((OutputTable[GroupByKey]=OutputTable[[#This Row],[GroupByKey]]),(OutputTable[GroupByKey]=OutputTable[[#This Row],[GroupByKey]])*OutputTable[RecordedValue])),0)</f>
        <v>96.066666666666663</v>
      </c>
      <c r="L67" s="5" cm="1">
        <f t="array" ref="L67">IFERROR(_xlfn.STDEV.S(IF((OutputTable[GroupByKey]=OutputTable[[#This Row],[GroupByKey]]),(OutputTable[GroupByKey]=OutputTable[[#This Row],[GroupByKey]])*OutputTable[RecordedValue])),0)</f>
        <v>9.1843552279069058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67" s="5" cm="1">
        <f t="array" ref="O67">MIN(IF((OutputTable[GroupByKey]=OutputTable[[#This Row],[GroupByKey]]),(OutputTable[GroupByKey]=OutputTable[[#This Row],[GroupByKey]])*OutputTable[RecordedValue]))</f>
        <v>82</v>
      </c>
      <c r="P67" s="5" cm="1">
        <f t="array" ref="P67">MAX(IF((OutputTable[GroupByKey]=OutputTable[[#This Row],[GroupByKey]]),(OutputTable[GroupByKey]=OutputTable[[#This Row],[GroupByKey]])*OutputTable[RecordedValue]))</f>
        <v>116</v>
      </c>
    </row>
    <row r="68" spans="1:16" x14ac:dyDescent="0.3">
      <c r="A68" t="s">
        <v>66</v>
      </c>
      <c r="B68" t="s">
        <v>69</v>
      </c>
      <c r="C68">
        <v>14</v>
      </c>
      <c r="D68" t="s">
        <v>90</v>
      </c>
      <c r="E68" t="s">
        <v>91</v>
      </c>
      <c r="F68" t="s">
        <v>72</v>
      </c>
      <c r="G68">
        <v>94</v>
      </c>
      <c r="H68">
        <v>0</v>
      </c>
      <c r="I68" s="5" t="str">
        <f>OutputTable[[#This Row],[ProjectName]]&amp;OutputTable[[#This Row],[Name]]&amp;OutputTable[[#This Row],[Type]]&amp;OutputTable[[#This Row],[Source]]</f>
        <v>Unnamed ProjectEntity 1.NumberOutNumber OutEntity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15</v>
      </c>
      <c r="K68" s="5" cm="1">
        <f t="array" ref="K68">IFERROR(AVERAGE(IF((OutputTable[GroupByKey]=OutputTable[[#This Row],[GroupByKey]]),(OutputTable[GroupByKey]=OutputTable[[#This Row],[GroupByKey]])*OutputTable[RecordedValue])),0)</f>
        <v>95.2</v>
      </c>
      <c r="L68" s="5" cm="1">
        <f t="array" ref="L68">IFERROR(_xlfn.STDEV.S(IF((OutputTable[GroupByKey]=OutputTable[[#This Row],[GroupByKey]]),(OutputTable[GroupByKey]=OutputTable[[#This Row],[GroupByKey]])*OutputTable[RecordedValue])),0)</f>
        <v>9.3059120993054751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68" s="5" cm="1">
        <f t="array" ref="O68">MIN(IF((OutputTable[GroupByKey]=OutputTable[[#This Row],[GroupByKey]]),(OutputTable[GroupByKey]=OutputTable[[#This Row],[GroupByKey]])*OutputTable[RecordedValue]))</f>
        <v>81</v>
      </c>
      <c r="P68" s="5" cm="1">
        <f t="array" ref="P68">MAX(IF((OutputTable[GroupByKey]=OutputTable[[#This Row],[GroupByKey]]),(OutputTable[GroupByKey]=OutputTable[[#This Row],[GroupByKey]])*OutputTable[RecordedValue]))</f>
        <v>116</v>
      </c>
    </row>
    <row r="69" spans="1:16" x14ac:dyDescent="0.3">
      <c r="A69" t="s">
        <v>66</v>
      </c>
      <c r="B69" t="s">
        <v>69</v>
      </c>
      <c r="C69">
        <v>14</v>
      </c>
      <c r="D69" t="s">
        <v>92</v>
      </c>
      <c r="E69" t="s">
        <v>93</v>
      </c>
      <c r="F69" t="s">
        <v>84</v>
      </c>
      <c r="G69">
        <v>96</v>
      </c>
      <c r="H69">
        <v>0</v>
      </c>
      <c r="I69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15</v>
      </c>
      <c r="K69" s="5" cm="1">
        <f t="array" ref="K69">IFERROR(AVERAGE(IF((OutputTable[GroupByKey]=OutputTable[[#This Row],[GroupByKey]]),(OutputTable[GroupByKey]=OutputTable[[#This Row],[GroupByKey]])*OutputTable[RecordedValue])),0)</f>
        <v>96.066666666666663</v>
      </c>
      <c r="L69" s="5" cm="1">
        <f t="array" ref="L69">IFERROR(_xlfn.STDEV.S(IF((OutputTable[GroupByKey]=OutputTable[[#This Row],[GroupByKey]]),(OutputTable[GroupByKey]=OutputTable[[#This Row],[GroupByKey]])*OutputTable[RecordedValue])),0)</f>
        <v>9.1843552279069058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69" s="5" cm="1">
        <f t="array" ref="O69">MIN(IF((OutputTable[GroupByKey]=OutputTable[[#This Row],[GroupByKey]]),(OutputTable[GroupByKey]=OutputTable[[#This Row],[GroupByKey]])*OutputTable[RecordedValue]))</f>
        <v>82</v>
      </c>
      <c r="P69" s="5" cm="1">
        <f t="array" ref="P69">MAX(IF((OutputTable[GroupByKey]=OutputTable[[#This Row],[GroupByKey]]),(OutputTable[GroupByKey]=OutputTable[[#This Row],[GroupByKey]])*OutputTable[RecordedValue]))</f>
        <v>116</v>
      </c>
    </row>
    <row r="70" spans="1:16" x14ac:dyDescent="0.3">
      <c r="A70" t="s">
        <v>66</v>
      </c>
      <c r="B70" t="s">
        <v>69</v>
      </c>
      <c r="C70">
        <v>14</v>
      </c>
      <c r="D70" t="s">
        <v>94</v>
      </c>
      <c r="E70" t="s">
        <v>95</v>
      </c>
      <c r="F70" t="s">
        <v>84</v>
      </c>
      <c r="G70">
        <v>0.348186854958833</v>
      </c>
      <c r="H70">
        <v>0</v>
      </c>
      <c r="I70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15</v>
      </c>
      <c r="K70" s="5" cm="1">
        <f t="array" ref="K70">IFERROR(AVERAGE(IF((OutputTable[GroupByKey]=OutputTable[[#This Row],[GroupByKey]]),(OutputTable[GroupByKey]=OutputTable[[#This Row],[GroupByKey]])*OutputTable[RecordedValue])),0)</f>
        <v>0.35538558845326462</v>
      </c>
      <c r="L70" s="5" cm="1">
        <f t="array" ref="L70">IFERROR(_xlfn.STDEV.S(IF((OutputTable[GroupByKey]=OutputTable[[#This Row],[GroupByKey]]),(OutputTable[GroupByKey]=OutputTable[[#This Row],[GroupByKey]])*OutputTable[RecordedValue])),0)</f>
        <v>3.5995680767676681E-2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1.9933743585200857E-2</v>
      </c>
      <c r="O70" s="5" cm="1">
        <f t="array" ref="O70">MIN(IF((OutputTable[GroupByKey]=OutputTable[[#This Row],[GroupByKey]]),(OutputTable[GroupByKey]=OutputTable[[#This Row],[GroupByKey]])*OutputTable[RecordedValue]))</f>
        <v>0.29520999449618501</v>
      </c>
      <c r="P70" s="5" cm="1">
        <f t="array" ref="P70">MAX(IF((OutputTable[GroupByKey]=OutputTable[[#This Row],[GroupByKey]]),(OutputTable[GroupByKey]=OutputTable[[#This Row],[GroupByKey]])*OutputTable[RecordedValue]))</f>
        <v>0.43628573463419201</v>
      </c>
    </row>
    <row r="71" spans="1:16" x14ac:dyDescent="0.3">
      <c r="A71" t="s">
        <v>66</v>
      </c>
      <c r="B71" t="s">
        <v>69</v>
      </c>
      <c r="C71">
        <v>14</v>
      </c>
      <c r="D71" t="s">
        <v>96</v>
      </c>
      <c r="E71" t="s">
        <v>91</v>
      </c>
      <c r="F71" t="s">
        <v>97</v>
      </c>
      <c r="G71">
        <v>94</v>
      </c>
      <c r="H71">
        <v>0</v>
      </c>
      <c r="I71" s="5" t="str">
        <f>OutputTable[[#This Row],[ProjectName]]&amp;OutputTable[[#This Row],[Name]]&amp;OutputTable[[#This Row],[Type]]&amp;OutputTable[[#This Row],[Source]]</f>
        <v>Unnamed ProjectSystem.NumberOutNumber OutSystem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15</v>
      </c>
      <c r="K71" s="5" cm="1">
        <f t="array" ref="K71">IFERROR(AVERAGE(IF((OutputTable[GroupByKey]=OutputTable[[#This Row],[GroupByKey]]),(OutputTable[GroupByKey]=OutputTable[[#This Row],[GroupByKey]])*OutputTable[RecordedValue])),0)</f>
        <v>95.2</v>
      </c>
      <c r="L71" s="5" cm="1">
        <f t="array" ref="L71">IFERROR(_xlfn.STDEV.S(IF((OutputTable[GroupByKey]=OutputTable[[#This Row],[GroupByKey]]),(OutputTable[GroupByKey]=OutputTable[[#This Row],[GroupByKey]])*OutputTable[RecordedValue])),0)</f>
        <v>9.3059120993054751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71" s="5" cm="1">
        <f t="array" ref="O71">MIN(IF((OutputTable[GroupByKey]=OutputTable[[#This Row],[GroupByKey]]),(OutputTable[GroupByKey]=OutputTable[[#This Row],[GroupByKey]])*OutputTable[RecordedValue]))</f>
        <v>81</v>
      </c>
      <c r="P71" s="5" cm="1">
        <f t="array" ref="P71">MAX(IF((OutputTable[GroupByKey]=OutputTable[[#This Row],[GroupByKey]]),(OutputTable[GroupByKey]=OutputTable[[#This Row],[GroupByKey]])*OutputTable[RecordedValue]))</f>
        <v>116</v>
      </c>
    </row>
    <row r="72" spans="1:16" x14ac:dyDescent="0.3">
      <c r="A72" t="s">
        <v>66</v>
      </c>
      <c r="B72" t="s">
        <v>69</v>
      </c>
      <c r="C72">
        <v>15</v>
      </c>
      <c r="D72" t="s">
        <v>88</v>
      </c>
      <c r="E72" t="s">
        <v>89</v>
      </c>
      <c r="F72" t="s">
        <v>72</v>
      </c>
      <c r="G72">
        <v>87</v>
      </c>
      <c r="H72">
        <v>0</v>
      </c>
      <c r="I72" s="5" t="str">
        <f>OutputTable[[#This Row],[ProjectName]]&amp;OutputTable[[#This Row],[Name]]&amp;OutputTable[[#This Row],[Type]]&amp;OutputTable[[#This Row],[Source]]</f>
        <v>Unnamed ProjectEntity 1.NumberInNumber InEntity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15</v>
      </c>
      <c r="K72" s="5" cm="1">
        <f t="array" ref="K72">IFERROR(AVERAGE(IF((OutputTable[GroupByKey]=OutputTable[[#This Row],[GroupByKey]]),(OutputTable[GroupByKey]=OutputTable[[#This Row],[GroupByKey]])*OutputTable[RecordedValue])),0)</f>
        <v>96.066666666666663</v>
      </c>
      <c r="L72" s="5" cm="1">
        <f t="array" ref="L72">IFERROR(_xlfn.STDEV.S(IF((OutputTable[GroupByKey]=OutputTable[[#This Row],[GroupByKey]]),(OutputTable[GroupByKey]=OutputTable[[#This Row],[GroupByKey]])*OutputTable[RecordedValue])),0)</f>
        <v>9.1843552279069058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72" s="5" cm="1">
        <f t="array" ref="O72">MIN(IF((OutputTable[GroupByKey]=OutputTable[[#This Row],[GroupByKey]]),(OutputTable[GroupByKey]=OutputTable[[#This Row],[GroupByKey]])*OutputTable[RecordedValue]))</f>
        <v>82</v>
      </c>
      <c r="P72" s="5" cm="1">
        <f t="array" ref="P72">MAX(IF((OutputTable[GroupByKey]=OutputTable[[#This Row],[GroupByKey]]),(OutputTable[GroupByKey]=OutputTable[[#This Row],[GroupByKey]])*OutputTable[RecordedValue]))</f>
        <v>116</v>
      </c>
    </row>
    <row r="73" spans="1:16" x14ac:dyDescent="0.3">
      <c r="A73" t="s">
        <v>66</v>
      </c>
      <c r="B73" t="s">
        <v>69</v>
      </c>
      <c r="C73">
        <v>15</v>
      </c>
      <c r="D73" t="s">
        <v>90</v>
      </c>
      <c r="E73" t="s">
        <v>91</v>
      </c>
      <c r="F73" t="s">
        <v>72</v>
      </c>
      <c r="G73">
        <v>86</v>
      </c>
      <c r="H73">
        <v>0</v>
      </c>
      <c r="I73" s="5" t="str">
        <f>OutputTable[[#This Row],[ProjectName]]&amp;OutputTable[[#This Row],[Name]]&amp;OutputTable[[#This Row],[Type]]&amp;OutputTable[[#This Row],[Source]]</f>
        <v>Unnamed ProjectEntity 1.NumberOutNumber OutEntity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15</v>
      </c>
      <c r="K73" s="5" cm="1">
        <f t="array" ref="K73">IFERROR(AVERAGE(IF((OutputTable[GroupByKey]=OutputTable[[#This Row],[GroupByKey]]),(OutputTable[GroupByKey]=OutputTable[[#This Row],[GroupByKey]])*OutputTable[RecordedValue])),0)</f>
        <v>95.2</v>
      </c>
      <c r="L73" s="5" cm="1">
        <f t="array" ref="L73">IFERROR(_xlfn.STDEV.S(IF((OutputTable[GroupByKey]=OutputTable[[#This Row],[GroupByKey]]),(OutputTable[GroupByKey]=OutputTable[[#This Row],[GroupByKey]])*OutputTable[RecordedValue])),0)</f>
        <v>9.3059120993054751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73" s="5" cm="1">
        <f t="array" ref="O73">MIN(IF((OutputTable[GroupByKey]=OutputTable[[#This Row],[GroupByKey]]),(OutputTable[GroupByKey]=OutputTable[[#This Row],[GroupByKey]])*OutputTable[RecordedValue]))</f>
        <v>81</v>
      </c>
      <c r="P73" s="5" cm="1">
        <f t="array" ref="P73">MAX(IF((OutputTable[GroupByKey]=OutputTable[[#This Row],[GroupByKey]]),(OutputTable[GroupByKey]=OutputTable[[#This Row],[GroupByKey]])*OutputTable[RecordedValue]))</f>
        <v>116</v>
      </c>
    </row>
    <row r="74" spans="1:16" x14ac:dyDescent="0.3">
      <c r="A74" t="s">
        <v>66</v>
      </c>
      <c r="B74" t="s">
        <v>69</v>
      </c>
      <c r="C74">
        <v>15</v>
      </c>
      <c r="D74" t="s">
        <v>92</v>
      </c>
      <c r="E74" t="s">
        <v>93</v>
      </c>
      <c r="F74" t="s">
        <v>84</v>
      </c>
      <c r="G74">
        <v>87</v>
      </c>
      <c r="H74">
        <v>0</v>
      </c>
      <c r="I74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15</v>
      </c>
      <c r="K74" s="5" cm="1">
        <f t="array" ref="K74">IFERROR(AVERAGE(IF((OutputTable[GroupByKey]=OutputTable[[#This Row],[GroupByKey]]),(OutputTable[GroupByKey]=OutputTable[[#This Row],[GroupByKey]])*OutputTable[RecordedValue])),0)</f>
        <v>96.066666666666663</v>
      </c>
      <c r="L74" s="5" cm="1">
        <f t="array" ref="L74">IFERROR(_xlfn.STDEV.S(IF((OutputTable[GroupByKey]=OutputTable[[#This Row],[GroupByKey]]),(OutputTable[GroupByKey]=OutputTable[[#This Row],[GroupByKey]])*OutputTable[RecordedValue])),0)</f>
        <v>9.1843552279069058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5.0861263963896395</v>
      </c>
      <c r="O74" s="5" cm="1">
        <f t="array" ref="O74">MIN(IF((OutputTable[GroupByKey]=OutputTable[[#This Row],[GroupByKey]]),(OutputTable[GroupByKey]=OutputTable[[#This Row],[GroupByKey]])*OutputTable[RecordedValue]))</f>
        <v>82</v>
      </c>
      <c r="P74" s="5" cm="1">
        <f t="array" ref="P74">MAX(IF((OutputTable[GroupByKey]=OutputTable[[#This Row],[GroupByKey]]),(OutputTable[GroupByKey]=OutputTable[[#This Row],[GroupByKey]])*OutputTable[RecordedValue]))</f>
        <v>116</v>
      </c>
    </row>
    <row r="75" spans="1:16" x14ac:dyDescent="0.3">
      <c r="A75" t="s">
        <v>66</v>
      </c>
      <c r="B75" t="s">
        <v>69</v>
      </c>
      <c r="C75">
        <v>15</v>
      </c>
      <c r="D75" t="s">
        <v>94</v>
      </c>
      <c r="E75" t="s">
        <v>95</v>
      </c>
      <c r="F75" t="s">
        <v>84</v>
      </c>
      <c r="G75">
        <v>0.32155420871849999</v>
      </c>
      <c r="H75">
        <v>0</v>
      </c>
      <c r="I75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15</v>
      </c>
      <c r="K75" s="5" cm="1">
        <f t="array" ref="K75">IFERROR(AVERAGE(IF((OutputTable[GroupByKey]=OutputTable[[#This Row],[GroupByKey]]),(OutputTable[GroupByKey]=OutputTable[[#This Row],[GroupByKey]])*OutputTable[RecordedValue])),0)</f>
        <v>0.35538558845326462</v>
      </c>
      <c r="L75" s="5" cm="1">
        <f t="array" ref="L75">IFERROR(_xlfn.STDEV.S(IF((OutputTable[GroupByKey]=OutputTable[[#This Row],[GroupByKey]]),(OutputTable[GroupByKey]=OutputTable[[#This Row],[GroupByKey]])*OutputTable[RecordedValue])),0)</f>
        <v>3.5995680767676681E-2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1.9933743585200857E-2</v>
      </c>
      <c r="O75" s="5" cm="1">
        <f t="array" ref="O75">MIN(IF((OutputTable[GroupByKey]=OutputTable[[#This Row],[GroupByKey]]),(OutputTable[GroupByKey]=OutputTable[[#This Row],[GroupByKey]])*OutputTable[RecordedValue]))</f>
        <v>0.29520999449618501</v>
      </c>
      <c r="P75" s="5" cm="1">
        <f t="array" ref="P75">MAX(IF((OutputTable[GroupByKey]=OutputTable[[#This Row],[GroupByKey]]),(OutputTable[GroupByKey]=OutputTable[[#This Row],[GroupByKey]])*OutputTable[RecordedValue]))</f>
        <v>0.43628573463419201</v>
      </c>
    </row>
    <row r="76" spans="1:16" x14ac:dyDescent="0.3">
      <c r="A76" t="s">
        <v>66</v>
      </c>
      <c r="B76" t="s">
        <v>69</v>
      </c>
      <c r="C76">
        <v>15</v>
      </c>
      <c r="D76" t="s">
        <v>96</v>
      </c>
      <c r="E76" t="s">
        <v>91</v>
      </c>
      <c r="F76" t="s">
        <v>97</v>
      </c>
      <c r="G76">
        <v>86</v>
      </c>
      <c r="H76">
        <v>0</v>
      </c>
      <c r="I76" s="5" t="str">
        <f>OutputTable[[#This Row],[ProjectName]]&amp;OutputTable[[#This Row],[Name]]&amp;OutputTable[[#This Row],[Type]]&amp;OutputTable[[#This Row],[Source]]</f>
        <v>Unnamed ProjectSystem.NumberOutNumber OutSystem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15</v>
      </c>
      <c r="K76" s="5" cm="1">
        <f t="array" ref="K76">IFERROR(AVERAGE(IF((OutputTable[GroupByKey]=OutputTable[[#This Row],[GroupByKey]]),(OutputTable[GroupByKey]=OutputTable[[#This Row],[GroupByKey]])*OutputTable[RecordedValue])),0)</f>
        <v>95.2</v>
      </c>
      <c r="L76" s="5" cm="1">
        <f t="array" ref="L76">IFERROR(_xlfn.STDEV.S(IF((OutputTable[GroupByKey]=OutputTable[[#This Row],[GroupByKey]]),(OutputTable[GroupByKey]=OutputTable[[#This Row],[GroupByKey]])*OutputTable[RecordedValue])),0)</f>
        <v>9.3059120993054751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5.1534423480205414</v>
      </c>
      <c r="O76" s="5" cm="1">
        <f t="array" ref="O76">MIN(IF((OutputTable[GroupByKey]=OutputTable[[#This Row],[GroupByKey]]),(OutputTable[GroupByKey]=OutputTable[[#This Row],[GroupByKey]])*OutputTable[RecordedValue]))</f>
        <v>81</v>
      </c>
      <c r="P76" s="5" cm="1">
        <f t="array" ref="P76">MAX(IF((OutputTable[GroupByKey]=OutputTable[[#This Row],[GroupByKey]]),(OutputTable[GroupByKey]=OutputTable[[#This Row],[GroupByKey]])*OutputTable[RecordedValue]))</f>
        <v>116</v>
      </c>
    </row>
  </sheetData>
  <phoneticPr fontId="2" type="noConversion"/>
  <conditionalFormatting sqref="I2:P76">
    <cfRule type="expression" dxfId="34" priority="2">
      <formula>MOD(ROW(),2)=0</formula>
    </cfRule>
  </conditionalFormatting>
  <conditionalFormatting sqref="N2:N76">
    <cfRule type="expression" dxfId="33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10.77734375" bestFit="1" customWidth="1"/>
    <col min="6" max="6" width="9" bestFit="1" customWidth="1"/>
    <col min="7" max="7" width="20.5546875" bestFit="1" customWidth="1"/>
    <col min="8" max="8" width="21.21875" bestFit="1" customWidth="1"/>
    <col min="9" max="9" width="23.77734375" bestFit="1" customWidth="1"/>
    <col min="10" max="10" width="25" bestFit="1" customWidth="1"/>
    <col min="11" max="11" width="15.33203125" bestFit="1" customWidth="1"/>
    <col min="12" max="12" width="13.6640625" bestFit="1" customWidth="1"/>
    <col min="13" max="13" width="28.88671875" bestFit="1" customWidth="1"/>
    <col min="14" max="14" width="29.5546875" bestFit="1" customWidth="1"/>
    <col min="15" max="15" width="16.21875" bestFit="1" customWidth="1"/>
    <col min="16" max="16" width="27.6640625" bestFit="1" customWidth="1"/>
    <col min="17" max="17" width="28.3320312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88671875" bestFit="1" customWidth="1"/>
    <col min="22" max="22" width="31.88671875" bestFit="1" customWidth="1"/>
    <col min="23" max="23" width="32.10937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</sheetData>
  <phoneticPr fontId="2" type="noConversion"/>
  <conditionalFormatting sqref="L17:Q17 R45:W45 L31:W31 L1:Q2">
    <cfRule type="expression" dxfId="32" priority="3">
      <formula>MOD(ROW(),2)=0</formula>
    </cfRule>
  </conditionalFormatting>
  <conditionalFormatting sqref="H2">
    <cfRule type="expression" dxfId="31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Furkan Atas</cp:lastModifiedBy>
  <cp:lastPrinted>2022-03-22T10:33:10Z</cp:lastPrinted>
  <dcterms:created xsi:type="dcterms:W3CDTF">2020-06-29T21:30:31Z</dcterms:created>
  <dcterms:modified xsi:type="dcterms:W3CDTF">2025-06-18T21:20:18Z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